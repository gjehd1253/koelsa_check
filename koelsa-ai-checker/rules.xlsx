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oelsa-ai-checker\"/>
    </mc:Choice>
  </mc:AlternateContent>
  <bookViews>
    <workbookView xWindow="-28920" yWindow="-120" windowWidth="29040" windowHeight="15720" activeTab="2"/>
  </bookViews>
  <sheets>
    <sheet name="input" sheetId="3" r:id="rId1"/>
    <sheet name="rules" sheetId="2" r:id="rId2"/>
    <sheet name="rules_stand" sheetId="1" r:id="rId3"/>
    <sheet name="BS" sheetId="5"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8" i="3" l="1"/>
  <c r="D1" i="5" l="1"/>
  <c r="E15" i="2"/>
  <c r="A1" i="5"/>
  <c r="E16" i="2" s="1"/>
  <c r="D16" i="2"/>
  <c r="D34" i="2" l="1"/>
  <c r="D32" i="2"/>
  <c r="D30" i="2"/>
  <c r="D28" i="2"/>
  <c r="D26" i="2"/>
  <c r="D24" i="2"/>
  <c r="E34" i="2"/>
  <c r="E32" i="2"/>
  <c r="E30" i="2"/>
  <c r="E28" i="2"/>
  <c r="E26" i="2"/>
  <c r="E24" i="2"/>
  <c r="E35" i="2"/>
  <c r="E33" i="2"/>
  <c r="E31" i="2"/>
  <c r="E29" i="2"/>
  <c r="E27" i="2"/>
  <c r="E25" i="2"/>
  <c r="E23" i="2"/>
  <c r="C71" i="3"/>
</calcChain>
</file>

<file path=xl/sharedStrings.xml><?xml version="1.0" encoding="utf-8"?>
<sst xmlns="http://schemas.openxmlformats.org/spreadsheetml/2006/main" count="1150" uniqueCount="824">
  <si>
    <t>항목</t>
    <phoneticPr fontId="1" type="noConversion"/>
  </si>
  <si>
    <t>입력키</t>
    <phoneticPr fontId="1" type="noConversion"/>
  </si>
  <si>
    <t>① 승강기번호 표지의 발급
a. 훼손 등의 사유로 재발급은 공단으로 신청
b. 제작 및 발송에 따른 기간 소요
적용
② 재발급 신청 후 표지 미부착의 검사판정
a. 안전검사 시 임시번호판*의 부착 허용
* 재발급 신청 시 출력 가능
b. 승강기번호 표지의 재발급 완료 시 관리주체
(또는 신청인)는 승강기번호 표지를 부착할 것</t>
    <phoneticPr fontId="1" type="noConversion"/>
  </si>
  <si>
    <t>① 설치검사 시 피트 내 물을 배수할 목적의 배
수설비 설치 불가(소방구조용, 피난용 제외)
② 소방구조용 및 피난용 엘리베이터 이외 용도의 엘리베이터에도 피트 침수를 대비한 배수 관련 설비를 설치할 수 있음.
다만, 누수가 있는 경우 누수가 없도록 조치하여야 하고, 누수되는 물을 배수설비로 배수하는 것은 적합하지 않음</t>
    <phoneticPr fontId="1" type="noConversion"/>
  </si>
  <si>
    <t>① 레일, 완충기 등의 하중이 부과되는 위치에 집수정 설치 불가
② 다만, 건설사와 승강기 제조사가 ①의 경우 관련법령/고시에서 명시하는 하중을 지지할 수 있음을 기술서류를 통해 증명하는 경우 허용</t>
    <phoneticPr fontId="1" type="noConversion"/>
  </si>
  <si>
    <t>① 신규 승강기에 설치 시
 a. 제조사: 해당 기기 및 설비가 새로운 승강기 안전기준에 적합한지 증명
 b. 유지관리: 승강기 제조사는 승강로 내 유선 또는 무선전송기기에 대한 사용설명서(적용범위 등) 및 품질보증서를 관리주체에 제공하고, 관리주체는 승강기 제조사 또는 유지관리업체를 통한 고장·수리 및 유지관리가 될 수 있도록 조치
 ※고장또는수리시안전한작업방법(과도한 개구부발생시키지않는등)에 대해 사용
설명서에포함
② 기존 승강기에 설치 시
 a. 관리주체: 해당 기기 설치 시 안전성 등을 승강기 제조사로부터 확인을 받고 설치(해당 기기 및 설비가 새로운 승강기 안전기준에 적합한지 증명 필요)
b. 유지관리: 해당 기기의 제조사는 승강로 내 유선 또는 무선전송기기에 대한 사용설명서(적용범위 등) 및 품질보증서를 관리주체에 제공하고, 관리주체는 승강기 제조사 또는 유지관리업체를 통한 고장·수리 및 유지관리가 될 수 있도록 조치
 ※고장또는수리시안전한작업방법(과도한개구부발생시키지않는등)에 대해 사용설명서에포함
 ★ 승강기의 JAMB 또는 삼방틀에 설치되어 승강로에 전선 등 관련설비가 있는 경우 적용되는 사항으로, 별도 건축물의 승강로 외벽에 설치되는 모니터와 전광판은 해당 없음</t>
    <phoneticPr fontId="1" type="noConversion"/>
  </si>
  <si>
    <t>① 6.1.4.1 기준의 정의
 가) 카 지붕에서 수직투영면의 1m 상부[50lx]
 가),나) 사람이 서 있을 수 있는 공간, 작업구역 및 작업구역 간 이동 공간에 대한 안전 조명[50lx]
 다) 승강로 전 구간에서 돌출물 또는 이동하는부품이 접근하는 등에 대한 위험의 시각적인 인지를 위한 안전조명[20lx]
 ★ 승강로 조명장치의 일부로 카 지붕에 조명을 추가로 고정: 카 조명과 별도로 14.1.1.1 및 14.7.1에 따라 연결된 승강로 조명의 일부
★ 손전등과 같은 임시조명: 승강로 조명 외 전문 작업을 위해 작업면을 비추는 별도의 국부조명
② 승강로 조명 스위치
 a. 피트 출입문 및 주개폐기 근처에 각각 켜고 끌 수 있는 스위치
 b. 카 상부 추가 조명장치가 설치되는 경우 카 상부에 스위치를 추가로 설치할 수 있으나 다른 승강로 조명 스위치와 동일하게 승강로 전체 조명을 켜고 끌 수 있어야 함(승강로 조명과 별도로 작동되는 조명은 승강로 조명 인정 불가)
★ 14.8.2의 추가적인 램프 정의
승강로 조명과 별도로 카 조명과 연결되어 고장 등으로 인한 승강로 조명 부재
시 대체할 수 있는 조명(승강로 조명 인정 불가)
 ★ 카 상부 작업등의 적용 여부
승강로 조명 라인이 결선된 카 상부 승강로 조명은 카 상부 조도 측정 시 포함되나, 카 조명 라인에 결선된 카 상부 작업등은 카 상부 조도 측정 시 적용 불가
③ 승강로 조명 검사방법
 a. 가)에 대한 검사방법
카 지붕에서 수직투영면의 1m 위치에서 승강로 및 카 위에 고정 설치된 조명의 광원을 향하여 측정(카 조명에 연결된 카 상부 작업등 제외)
 b. 나)에 대한 검사방법
피트 내 사람이 서 있을 수 있는 공간, 작업공간 및 작업공간간 이동통로 바닥에서 수직 위로 1m 위치에서 승강로에 고정 설치된 조명의 광원을 향하여 측정
 c. 다)에 대한 검사방법
카 지붕 및 피트바닥의 1m 이상, 카 지붕에서 수직투영면 이외 공간에서 승강로에 고정 설치된 조명의 광원을 향하여 측정</t>
    <phoneticPr fontId="1" type="noConversion"/>
  </si>
  <si>
    <t>① 피트 정지스위치 위치
 a. 피트 깊이가 1.6m 이하인 경우
  - 최하층 승강장 바닥에서 수직 위로 최소 0.4m 및 피트 바닥에서 수직 위로 최대 2m
  - 승강장문 안쪽 문틀에서 수평으로 최대 0.75m
 b. 피트 깊이가 1.6m 초과인 경우
  - 상부: 최하층 승강장 바닥에서 수직 위로 최소 1m 및 승강장문 안쪽 문틀에서 수평으로 최대 0.75m
 - 하부: 피트 바닥에서 수직 위로 최대 1.2m 및 피난 공간에서 조작이 가능한 위치
 c. 승강장문을 제외한 피트 출입문이 있는 경우 출입문 안쪽 문틀에서 수평으로 최대 0.75m 및 피트바닥에서 수직 위로 1.2m 위치에 있어야 함
② 피트 내 조명 점멸 수단 위치
 a. 피트 출입문 안쪽 문틀에서 수평으로 최대 0.75m 및 피트 출입층 바닥 위로 1m 위치에 설치</t>
    <phoneticPr fontId="1" type="noConversion"/>
  </si>
  <si>
    <t>기계대 지지방법</t>
    <phoneticPr fontId="1" type="noConversion"/>
  </si>
  <si>
    <r>
      <t xml:space="preserve">[설치검사(신규,교체) 시 기계대가 옹벽에 묻힌 경우]
</t>
    </r>
    <r>
      <rPr>
        <b/>
        <sz val="11"/>
        <color theme="1"/>
        <rFont val="맑은 고딕"/>
        <family val="3"/>
        <charset val="129"/>
        <scheme val="minor"/>
      </rPr>
      <t>1. 신규 설치검사</t>
    </r>
    <r>
      <rPr>
        <sz val="11"/>
        <color theme="1"/>
        <rFont val="맑은 고딕"/>
        <family val="2"/>
        <charset val="129"/>
        <scheme val="minor"/>
      </rPr>
      <t xml:space="preserve">
 ① 기계대가 옹벽에 100 mm 이상 묻혔을 경우 : 별도의 확인서 불필요
 ② 기계대가 옹벽에 100mm 미만 또는 묻히지 않았을 경우 : 구조기술사 확인서 필요 (동일한 구조의 경우 하나의 확인서 제출 가능)
</t>
    </r>
    <r>
      <rPr>
        <b/>
        <sz val="11"/>
        <color theme="1"/>
        <rFont val="맑은 고딕"/>
        <family val="3"/>
        <charset val="129"/>
        <scheme val="minor"/>
      </rPr>
      <t>2. 교체 설치검사(기계대의 이동·변경 등이 없는 경우)</t>
    </r>
    <r>
      <rPr>
        <sz val="11"/>
        <color theme="1"/>
        <rFont val="맑은 고딕"/>
        <family val="2"/>
        <charset val="129"/>
        <scheme val="minor"/>
      </rPr>
      <t xml:space="preserve">
 ① 묻힘량 확인이 불가한 경우
  a. 정격하중이 종전보다 이하인 경우: 별도의 확인서 불필요
  b. 정격하중이 증가되었으나 카 자중이 낮아 하중이(카 자중+정격하중) 종전보다 이하인 경우: 공인계량증명소의 계량증명서(자재 상차 사진, 하차 사진 포함) 또는 카 체대 등에 대한 부재별 무게를 계산한 중량 계산서 제출 시 인정
  c. 종전보다 하중(카 자중+정격하중)이 초과한 경우: 구조기술사 확인서 필요
 ② 묻힘량 확인이 가능한 경우
  a. 기계대가 옹벽에 100 mm 이상 묻혔을 경우: 별도의 확인서 불필요
  b. 기계대가 옹벽에 100mm 미만 또는 묻히지 않았을 경우
   ㄱ. 정격하중이 종전보다 이하인 경우: 별도의 확인서 불필요
   ㄴ. 정격하중이 증가되었으나 카 자중이 낮아 하중이(카 자중+정격하중) 종전보다 이하인 경우: 공인계량증명소의 계량증명서(자재 상차 사진, 하차 사진 포함) 또는 카 체대 등에 대한 부재별 무게를 계산한 중량 계산서 제출 시 인정
   ㄷ. 종전보다 하중(카 자중+정격하중)이 초과한 경우: 구조기술사 확인서 필요
</t>
    </r>
    <r>
      <rPr>
        <b/>
        <sz val="11"/>
        <color theme="1"/>
        <rFont val="맑은 고딕"/>
        <family val="3"/>
        <charset val="129"/>
        <scheme val="minor"/>
      </rPr>
      <t>[검사방법]</t>
    </r>
    <r>
      <rPr>
        <sz val="11"/>
        <color theme="1"/>
        <rFont val="맑은 고딕"/>
        <family val="2"/>
        <charset val="129"/>
        <scheme val="minor"/>
      </rPr>
      <t xml:space="preserve"> 기계대의 옹벽 묻힘량 확인(설계도면 및 현장확인 등)
</t>
    </r>
    <r>
      <rPr>
        <b/>
        <sz val="11"/>
        <color theme="1"/>
        <rFont val="맑은 고딕"/>
        <family val="3"/>
        <charset val="129"/>
        <scheme val="minor"/>
      </rPr>
      <t>[표준화 적용 방안]</t>
    </r>
    <r>
      <rPr>
        <sz val="11"/>
        <color theme="1"/>
        <rFont val="맑은 고딕"/>
        <family val="2"/>
        <charset val="129"/>
        <scheme val="minor"/>
      </rPr>
      <t xml:space="preserve"> '25. 1. 1. 이후 설치검사(신규, 교체)부터 적용</t>
    </r>
    <phoneticPr fontId="1" type="noConversion"/>
  </si>
  <si>
    <r>
      <t xml:space="preserve">[설치검사(신규,교체) 시 기계대가 헌치보에 얹힌 경우]
</t>
    </r>
    <r>
      <rPr>
        <b/>
        <sz val="11"/>
        <color theme="1"/>
        <rFont val="맑은 고딕"/>
        <family val="3"/>
        <charset val="129"/>
        <scheme val="minor"/>
      </rPr>
      <t>1. 신규 설치검사</t>
    </r>
    <r>
      <rPr>
        <sz val="11"/>
        <color theme="1"/>
        <rFont val="맑은 고딕"/>
        <family val="2"/>
        <charset val="129"/>
        <scheme val="minor"/>
      </rPr>
      <t xml:space="preserve">
 ① 지지보빔(스페이스빔)의 안전계수가 4 이상이고, 지지보빔의 벽면쪽 끝단과 벽면(구조벽 수직 연장선면)의 이격거리가 30mm 이내일 경우 : 별도의 확인서 불필요
 ② 지지보빔(스페이스빔)의 벽면쪽 끝단과 벽면(구조벽 수직 연장선면)의 이격거리가 30mm 초과할 경우: 구조기술사 확인서 필요 (동일한 구조의 경우 하나의 확인서 제출 가능)
</t>
    </r>
    <r>
      <rPr>
        <b/>
        <sz val="11"/>
        <color theme="1"/>
        <rFont val="맑은 고딕"/>
        <family val="3"/>
        <charset val="129"/>
        <scheme val="minor"/>
      </rPr>
      <t>2. 교체 설치검사(기계대의 이동·변경 등이 없는 경우)</t>
    </r>
    <r>
      <rPr>
        <sz val="11"/>
        <color theme="1"/>
        <rFont val="맑은 고딕"/>
        <family val="2"/>
        <charset val="129"/>
        <scheme val="minor"/>
      </rPr>
      <t xml:space="preserve">
 ① 얹힘량 확인이 불가한 경우
  a. 종전과 동일한 하중(카 자중+정격하중)이거나 이하인 경우: 별도의 확인서 불필요
  b. 정격하중이 증가되었으나 카 자중이 낮아 하중이(카 자중+정격하중) 종전보다 이하인 경우: 공인계량증명소의 계량증명서(자재 상차 사진, 하차 사진 포함) 또는 카 체대 등에 대한 부재별 무게를 계산한 중량 계산서 제출 시 인정
  c. 종전보다 하중(카 자중+정격하중)이 초과한경우: 구조기술사 확인서 필요
 ② 얹힘량 확인이 가능한 경우
  a. 지지보빔(스페이스빔)의 안전계수가 4 이상이고, 지지보빔의 벽면쪽 끝단과 벽면(구조벽 수직 연장선면)의 이격거리가 30mm 이내일 경우: 별도의 확인서 불필요
  b. 지지보빔(스페이스빔)의 벽면쪽 끝단과 벽면(구조벽 수직 연장선면)의 이격거리가 30mm 초과할 경우 
   ㄱ. 종전과 동일한 하중(카 자중+정격하중)이거나 이하인 경우: 별도의 확인서 불필요
   ㄴ. 정격하중이 증가되었으나 카 자중이 낮아 하중이(카 자중+정격하중) 종전보다 이하인 경우: 공인계량증명소의 계량증명서(자재 상차 사진, 하차 사진 포함) 또는 카 체대 등에 대한 부재별 무게를 계산한 중량 계산서 제출 시 인정
   ㄷ. 종전보다 하중(카 자중+정격하중)이 초과한 경우: 구조기술사 확인서 필요
</t>
    </r>
    <r>
      <rPr>
        <b/>
        <sz val="11"/>
        <color theme="1"/>
        <rFont val="맑은 고딕"/>
        <family val="3"/>
        <charset val="129"/>
        <scheme val="minor"/>
      </rPr>
      <t>[검사방법]</t>
    </r>
    <r>
      <rPr>
        <sz val="11"/>
        <color theme="1"/>
        <rFont val="맑은 고딕"/>
        <family val="2"/>
        <charset val="129"/>
        <scheme val="minor"/>
      </rPr>
      <t xml:space="preserve"> 기계대의 지지보빔 얹힘량 확인(설계도면 및 현장확인 등)
</t>
    </r>
    <r>
      <rPr>
        <b/>
        <sz val="11"/>
        <color theme="1"/>
        <rFont val="맑은 고딕"/>
        <family val="3"/>
        <charset val="129"/>
        <scheme val="minor"/>
      </rPr>
      <t>[표준화 적용 방안]</t>
    </r>
    <r>
      <rPr>
        <sz val="11"/>
        <color theme="1"/>
        <rFont val="맑은 고딕"/>
        <family val="2"/>
        <charset val="129"/>
        <scheme val="minor"/>
      </rPr>
      <t xml:space="preserve">
 - '25. 1. 1. 이후 설치검사(신규, 교체)부터 적용</t>
    </r>
    <phoneticPr fontId="1" type="noConversion"/>
  </si>
  <si>
    <t>[기존 건축물에 승강로 구획하는 경우]
① 별도의 건축허가(증·개축 등)의 행정절차가 필요없는 경우 공사계약일에 따라 검사기준 적용
② 구조강도계산서 등의 증빙 서류 제출</t>
    <phoneticPr fontId="1" type="noConversion"/>
  </si>
  <si>
    <t>승강로 벽을 유리로 구획하는 경우 승강로 벽의 외부를 감싸는 벽면(건물 외벽 포함)의 재질은 KS L 2004에 적합한 접합유리만 사용하여야 함
① 복층유리를 사용하는 경우 승강로 외부는 KS L 2004에 적합한 접합유리 사용
② 사람이 접근할 수 있는 곳에 있는 평면 또는 성형된 유리판이 승강로 벽으로만 구획되는 경우에는 KS L 2004에 적합한 접합유리로 만들어져야 함
 ★ 승강로 벽의 유리판 및 고정설비 강도 확인
 ❶ KS 인증서- 현장에 설치된 유리에 KS L 2004 표기
 ❷ 공인기관의 KS 시험성적서 및 납품확인서
(해외에서 납품 시 번역 자료 제출)- 시험성적서와 납품확인서 모델명 동일하여야 함</t>
    <phoneticPr fontId="1" type="noConversion"/>
  </si>
  <si>
    <t>배수시설 주위에 과도한 구멍 등으로 피트바닥이 평탄하지 못한 경우 작업자의 점검이 원활하도록 커버 등으로 보완 처리</t>
    <phoneticPr fontId="1" type="noConversion"/>
  </si>
  <si>
    <t>안전기준에서 비상문으로의 접근통로의 조명은 별도 규정하지 않음</t>
    <phoneticPr fontId="1" type="noConversion"/>
  </si>
  <si>
    <t>[개인적인 공간 경유]
① MRL의 제어패널이 위치한 곳이 개인적인 공간을 경유하도록 설계되어 출입문의 카드키나 비밀번호를 유지관리업체에 제공하여 상시로 출입이 가능하더라도 안전기준에 부적합함
② 개인적인 공간의 경유는 주택용 엘리베이터에 한정하여 허용</t>
    <phoneticPr fontId="1" type="noConversion"/>
  </si>
  <si>
    <t>[피트 출입문 설치]
① 피트 깊이 2.5m 초과 시 피트 출입문 설치 및 출입 통로 확보
② 출입통로 내 전 구간(2.5m 이상) 수직사다리 설치 불가 단, 피트바닥과 피트 출입문 단차 허용</t>
    <phoneticPr fontId="1" type="noConversion"/>
  </si>
  <si>
    <t xml:space="preserve"> [리모델링에 따른 피트사다리 적용]
① 개정된 안전기준을 적용해야 하나, 승강로 등 건축물 구조의 변경 없이는 개정된 승강기 안전기준에 적합하지 않은 경우 종전 승강기 검사기준을 적용할 수 있음
② 종전 검사기준에 따라 피트사다리 미설치 또는 승강장문 직 하부에 설치된 경우 → 시정권고안내</t>
    <phoneticPr fontId="1" type="noConversion"/>
  </si>
  <si>
    <t>[최하층 승강장문 2개인 경우]
① 2개의 승강장문 중 한쪽의 피트에 설치 가능
② 작업자의 원활한 출입을 위하여 출입수단 위치를 확인할 수 있는 심볼 표시 필요</t>
    <phoneticPr fontId="1" type="noConversion"/>
  </si>
  <si>
    <t>① 신규 건축물의 기계실·기계류 공간으로 가는 통로의 경우 계단을 설치하는 것이 바람직함. 다만, 계단 설치가 불가능한 경우 원형사다리 가능
② 트랩도어 적용 방안
 a. 하부 개방 불가능한 구조
 b. 트랩도어 개문 시 개문상태 유지
 c. 트랩도어의 가로, 세로 각각 0.8 m 이상 및 개문 시 높이 1.8 m 이상 확보
 d. 트랩도어를 열고·닫기 용이하도록 내·외부 손잡이 1개 이상 설치
 e. 트랩도어를 개문 시 물체 또는 작업자 추락 방지를 위해 트랩도어 주변 3면에 0.85 m 이상의 난간 설치
 f. 기계실·기계류 공간의 출입문으로 설치 불가</t>
    <phoneticPr fontId="1" type="noConversion"/>
  </si>
  <si>
    <t>[계단 난간 설치여부 확인]
 ① MR
 a. 최상층 승강장에서 기계실까지 가는 통로의 계단 난간 측정
  - 건축법에 따라 피난계단에 설치된 난간은 검사 제외
  - 건축법에 따른 피난계단은 제외하되, 통로 계단에 설치된 난간은 측정
② MRL
 a. 구동기 공간 층에 설치된 난간 측정
  - 건축법에 따라 피난계단에 설치된 난간은 검사 제외
  - 건축법에 따른 피난계단은 제외하되, 통로계단에 설치된 난간은 측정
[계단 난간 검사방법]
발판 깊이의 중간 지점에서 측정</t>
    <phoneticPr fontId="1" type="noConversion"/>
  </si>
  <si>
    <t>① 사다리 주위 수평거리 1.5 m 이내 추락위험 막는 보호조치*
  *보호조치: 사다리 주위 단차 없는 바닥, 낙하 보호망 설치 등
② 원형사다리는 나선형 계단으로 분류되므로 난간 등 기준에 적합한지 확인</t>
    <phoneticPr fontId="1" type="noConversion"/>
  </si>
  <si>
    <t>[비상문으로의 접근통로]
 ① 비상문은 카문 방향으로 설치하는 것이 바람직하나, 카문 방향으로 설치하지 못한 경우 a~c에 적합하여야 함 
 ※ 소방구조용 엘리베이터 비상문은 반드시 카문방향으로 설치
 a. 카 지붕 위 비상구출문 설치 및 카 내부 진입용 사다리가 비치되어야 함(추가 안내)
 b. 비상문의 위치는 균형추, 레일 등의 장애물로 카 지붕으로의 진입이 방해받지 않아야 함
 c. 비상문의 위치에는 카 지붕으로의 진입 및 구출 활동에 적합한 안전한 수단이 비치되어야 함
② 비상문 전면공간은 비상문의 폭과 높이 이상으로 확보
③ 구출하는 자는 수동(비상)운전을 통해 비상문과 카문을 동일 선상으로 이동시킨 후 구출할 수 있어야 함
④ 접근통로(계단 등) 구조 및 조명은 별도 규정하지 않으나 엘리베이터 안전기준에 적합하거나 산업안전보건법 또는 기타 건축 관련 법령에 따라 설치되어야 함(관련 법령에 대한 근거자료 제출)
⑤ 비상문으로의 접근 통로는 영구적으로 접근가능한 구조이어야 하므로 접이식 또는 이동식(휴대용) 사다리 비치 불가</t>
    <phoneticPr fontId="1" type="noConversion"/>
  </si>
  <si>
    <t>[리모델링(수시검사) 현장의 11m 초과 적용]
① 연속되는 승강장문 문턱사이의 거리가 11m 초과 시 비상구출 수단 설치
② 건축물 구조의 변경 사유로 적용할 수 없는 경우 전기적 비상운전 장치를 설치하여야 함
★ 종전 건축물의 비상문의 이동통로 등을 확보할 수 없다면 종전 기준을 적용하여 비상문을 완전히 폐쇄하고 전기적 비상운전을 적용할 수 있음</t>
    <phoneticPr fontId="1" type="noConversion"/>
  </si>
  <si>
    <t>[설치검사 현장의 7m 또는 11m 초과 적용]
① 전기적 비상운전 적용 불가
② 역사, 육교, 댐, 전망대 등 특수시설에 설치되는 경우 대체안전기준을 적용하여 안전인증 받아야 함</t>
    <phoneticPr fontId="1" type="noConversion"/>
  </si>
  <si>
    <t>① 출입문: 승강로 외부에서 승강로 내부의 작업구역으로 출입하는 문
② 점검문: 승강로 외부의 작업구역에서 승강로 내부 구동기(공간)를 점검하는 문</t>
    <phoneticPr fontId="1" type="noConversion"/>
  </si>
  <si>
    <t>배터리 방전 시 잠금이 유지되고 엘리베이터 안전기준에 적합한 구조인 경우 적용 가능</t>
    <phoneticPr fontId="1" type="noConversion"/>
  </si>
  <si>
    <t>[교체설치 시 건축물의 구조 변경 없이 개정]
① 안전기준의 적용이 불가하다면 기계실 출입문의 크기는 종전 기준 적용 가능</t>
    <phoneticPr fontId="1" type="noConversion"/>
  </si>
  <si>
    <t>[기계실 출입문 경고문구]
① 경고문에 “기계실” 문구 명기되어 있고
② “경고에 대한 문구”가 있으면 적합</t>
    <phoneticPr fontId="1" type="noConversion"/>
  </si>
  <si>
    <t>① 자가증발식 에어컨: 적합
② 에어컨 누수 또는 운행 중 상시 배수: 부적합
③ 승강로 내부(승강로 공간, 피트 바닥 등)로 물이 흐르거나 비산하지 않는 방법
④ 최하층에 도착 시에만 드레인 호스에서 물을 피트내 별도의 물 보관 용기로 배수</t>
    <phoneticPr fontId="1" type="noConversion"/>
  </si>
  <si>
    <t>피트 바닥에서 최하층 승강장에 착상한 승강기 천장까지의 승강로 공간에 승강로 내부 벽 수평 돌출부 또는 수평빔 등의 경우 카 상부 보호난간의 설치와 별도로 보호조치 하여야 함</t>
    <phoneticPr fontId="1" type="noConversion"/>
  </si>
  <si>
    <t>가상층이 존재하는 경우 가상층에서 정지하고 카문이 열리지 않도록 철저한 유지관리 안내(제어기판 교체 시 또는 과거 교체 이력이 있는 경우 데이터 입력값 확인)</t>
    <phoneticPr fontId="1" type="noConversion"/>
  </si>
  <si>
    <t>기존 보호면의 재 사용·철거 등에 대해 규정하지 않음</t>
    <phoneticPr fontId="1" type="noConversion"/>
  </si>
  <si>
    <t>[승강장문 문턱과 수직면 사이 수평거리]
① 승강장문 문턱의 돌출부분과 수직면 사이의 수평거리 〈 5mm : 적합
② 2mm〈승강장문 문턱의 돌출부분과 수직면 사이의 수평 거리 〈 5mm : 승강장문 문턱 돌출부분의 아랫부분을 수평면에 75° 이상 모따기</t>
    <phoneticPr fontId="1" type="noConversion"/>
  </si>
  <si>
    <t>[교체공사 시 승강로 하부 공간 보호]
① 종전 건축물로 승강기 하부에 접근이 가능한 통로가 있는 경우
 a. 피트 기초 5,000N/m2의 설계 자료: 건축허가서로 갈음
 b. 균형추 또는 평형추에 추락방지안전장치 설치
② 종전 건축물로 승강기 하부에 접근이 가능한 통로가 있고, 직하부 또는 지면까지 벽이 설치되어 있는 경우
 a. 피트 기초 5,000N/m2의 설계 자료: 건축허가서로 갈음
 b. 균형추 또는 평형추의 추락방지안전장치 제외 가능</t>
    <phoneticPr fontId="1" type="noConversion"/>
  </si>
  <si>
    <t>[균형추 주행안내레일과 승강로 벽 사이]
① 균형추 투영면적 후면과 승강로 벽까지의 거리가 0.3 m 이상인 경우 칸막이 설치
② 후면 칸막이 설치, 접근방지수단(판) 설치, 접근 방지수단(봉) 설치</t>
    <phoneticPr fontId="1" type="noConversion"/>
  </si>
  <si>
    <t>[카간 칸막이 설치]
 ① 수시검사 시
 a. 카 교체(카 체대+카 판넬) 시 카간 칸막이 설치 대상
 b. 건축구조상 설치가 불가능하고 서류로 증명 가능하다면 제외 가능
② 설치검사 시
 a. 카 지붕 모서리(카 위 작업자 공간 등)에서 인접하는 카의 움직이는 부품까지의 거리가 0.5 m 미만인 경우 전 구간 칸막이 설치
 ★ 카, 균형추 또는 평형추와 연결된 부품도 엘리베이터의 움직이는 부품에 포함
(도르래 및 커버)하되, 승강로 전 구간에 걸쳐 연속적으로 이어져 있는 과속조절기
로프와 그 연결장치는 움직이는 부품에서 제외</t>
    <phoneticPr fontId="1" type="noConversion"/>
  </si>
  <si>
    <t>[균형추 칸막이 설치]
 ① 균형추 칸막이 하부 높이는 피트 바닥에서 0.3 m 이하
② 균형체인·로프간섭 등 부득이한 경우 완충기의 최저 이동 높이 이하</t>
    <phoneticPr fontId="1" type="noConversion"/>
  </si>
  <si>
    <t>[균형추 칸막이 최저점 높이]
① 칸막이는 완전히 압축된 완충기 위에 있는 균형추 또는 가장 낮은곳에 있는 평형추의 끝단에서부터 위로 연장되어야 하며 그 연장 높이는 피트 바닥으로부터 2m 이상
② 칸막이의 가장 낮은 부분은 피트 바닥에서 위로 0.3 m 이하
 ★ 두 조건 모두 적합하여야 하므로 압축된 완충기 위치를 고려하여 칸막이 설치</t>
    <phoneticPr fontId="1" type="noConversion"/>
  </si>
  <si>
    <t xml:space="preserve"> [서로 다른 피트간 칸막이]
① 피트 내 작업자공간이 위험구간*이아닌 경우 칸막이 설치 제외 가능
* 피트바닥에서 카 가장 낮은 부품까지의 수직거리가 2m 이상
② 칸막이와 벽의 거리가 0.3m 이내인 경우 서로 다른 피트간의 접근을 방지할 수 있는 거리로 판단</t>
    <phoneticPr fontId="1" type="noConversion"/>
  </si>
  <si>
    <t xml:space="preserve"> [여러대 있는 엘리베이터의 칸막이]
① 칸막이의 최저점은 피트바닥에서 2m 이하로 적용
② 종전 검사기준 적용 시 칸막이의 최저점은 최하층 승강장 바닥 이하로 적용</t>
    <phoneticPr fontId="1" type="noConversion"/>
  </si>
  <si>
    <t>① 실린더 주행 여유거리가 아닌 카 상부 작업자의 안전을 확보
② 램·헤드의 가장 높은 부품과 투영면적 내의 승강로 천장 가장 낮은 부품간 수직거리 측정</t>
    <phoneticPr fontId="1" type="noConversion"/>
  </si>
  <si>
    <t>카 지붕의 피난공간 및 틈새</t>
    <phoneticPr fontId="1" type="noConversion"/>
  </si>
  <si>
    <t>[리모델링(교체설치) 승강기 피난공간 및 틈새]
① 리모델링(교체설치) 승강기의 경우 개정 안전기준에 적합하여야 하나 건축물의 구조 변경 없이 개정 안전기준 적용이 불가한 경우 종전기준 적용 가능
② 승강기 부품의 수정 또는 교체를 통해 개정 안전기준 적용이 가능하다면 개정 안전기준 적용하여 판정
③ 정격속도, 카 높이 등 설계사양 변경의 경우 개정 안전기준 적용하여 판정</t>
    <phoneticPr fontId="1" type="noConversion"/>
  </si>
  <si>
    <t xml:space="preserve"> [보호난간 위 틈새 측정 시 수평·수직거리 기준점]
① “카의 투영부분”의 기준점은 카 지붕 모서리의 내측이 아닌 보호난간의 내측을 기준으로 안쪽 수평거리 0.4 m 이내와 바깥부분을 구분함
② 수직, 경사거리 측정 위치: 보호난간부터 수평거리 이내 천장의 가장 낮은 부분까지 측정</t>
    <phoneticPr fontId="1" type="noConversion"/>
  </si>
  <si>
    <t xml:space="preserve"> [카 지붕 위 떠있는 공간 피난공간 허용여부]
① 카가 최고 위치에 있을 때
 a. 카 지붕 위 체대 및 카의 유효면적을 벗어난 공간을 피난공간으로 적용 가능
 b. 피난공간의 수평거리를 떠 있는 공간 적용 불가</t>
    <phoneticPr fontId="1" type="noConversion"/>
  </si>
  <si>
    <t>[피트 벽 보호판의 설치 높이]
① 카가 최저 위치에 있을 때
 a. 피트바닥과 에이프런의 유효 수직거리는 0.5m 이상이어야 함
 b. 인접한 벽에서 수평거리가 0.15m 이내에 에이프런의 어느 부분이 있는 경우에는 피트바닥과 에이프런의 유효수직 거리를 0.15m까지 줄일 수 있음
 c. b의 사유로 인접한 벽을 에이프런의 어느 부분까지의 수평거리를 0.15m까지 줄이기 위해 보강한다면 보강되는 벽의 최대 높이는 맞은편 최하층 승강장문의 문턱 높이 이상 구획하여야 함</t>
    <phoneticPr fontId="1" type="noConversion"/>
  </si>
  <si>
    <t>① 출입문이 외기에 접하는 경우 캐노피 등 빗물 
유입 방지 수단 설치
 a. 캐노피는 기계실 출입문의 폭과 높이(0.7m × 1.8m) 이상 확보
 b. 제어반이 외기에 있는 경우 캐노피 공간
(0.5m×2.0m) 및 제어반 작업구역
(0.5m×0.7m) 이상 확보
② 유압 파워유니트 주위에 기름방벽 설치(17년 7차)</t>
    <phoneticPr fontId="1" type="noConversion"/>
  </si>
  <si>
    <t>① 작업구역 접근 유효공간은 폭 0.5m, 높이 1.8m 이상 확보
② 과속조절기 등 기타 설비의 상부에 유효공간 (0.5m × 1.8m) 확보된 경우 적합
③ 교체하지 않은 기계대를 이동통로로 사용하는 경우 이동통로의 높이를 건축물 구조의 변경 없이 개정 검사기준의 적용이 불가하다면 종전 기준 적용 가능</t>
    <phoneticPr fontId="1" type="noConversion"/>
  </si>
  <si>
    <t>[“보호난간이 있는 계단이나 발판”에 대한 정의]
 ·기준의 목적이 0.5 m를 초과하는 단차에 대한 안전조치와 계단이나 발판으로 이동 시 추락을 방지하기 위한 보호조치 규정임
① 보호난간이 있는 계단
② 보호난간이 있는 발판</t>
    <phoneticPr fontId="1" type="noConversion"/>
  </si>
  <si>
    <t>① 작업구역에서 구동기 등의 유지관리: 카 내부 또는 카 지붕에서 기계류의 점검 등 유지관리 업무를 수행하는 경우
 a. 카 상부 작업구역의 높이는 2.1 m 이상 확보되어야 하며 승강기 부품은 카 상부 작업구역 내에서 안전하게 작업할 수 있는 높이에 있도록 설계되고 설치되어야 함
 b. 카의 위험한 움직임이 기계적인 장치에 의해 보호된 위치에서 카 상부 작업구역의 바닥으로부터 구동기 등의 상부가 수직으로 2.1 m를 초과하는 경우, 제조사는 유지관리에 위험이 없도록 별도의 점검 방법을 제시하여야 함 (휴대용 사다리 사용 불가)
 ② 승강로 내 제어반 및 캐비닛 전면 유효 작업 공간의 깊이
 a. 제어반 및 캐비닛 전면 유효 수평공간의 깊이는 외함 표면에서 측정하여 0.7 m 이상
 b. 제어반 및 캐비닛이 승강로에 설치되어 전면 유효 수평공간에 유효하지 않는 공간이 발생되는 경우, 제어반 및 캐비닛 외함 표면에서 카 상부 보호난간 내측까지의 거리는 0.7 m 이내</t>
    <phoneticPr fontId="1" type="noConversion"/>
  </si>
  <si>
    <t>① MR(기계적 고정 장치 제외)
 a. 비상통화장치 또는 비상문 등 밖으로 나올 수 있는 수단
② MRL(기계적 고정 장치 설치)
 a. 비상통화장치+카 지붕 비상구출문(탈출용 사다리 등 포함)/비상문/승강장문(0.5m × 0.7m 이상 확보*)
  * 승강로 밖으로 나올 수 있도록 승강장문 틈새를 확보하는 경우, 해당 위치에서 구동기 등 승강기 부품 점검이 가능하여야 함
 b. 비상통화장치+기계적 고정장치 해제 수단 및 매뉴얼 영구 비치</t>
    <phoneticPr fontId="1" type="noConversion"/>
  </si>
  <si>
    <t>[피트 내 기계적 고정장치 설치위치]
① 설치위치에 별도 규정하지 않으나 카 하부에 설치하는 것을 권장
② 단, 카 지붕 위 기계적 고정장치와 병행사용 불가하며 브라켓 별도 설치하여야 함</t>
    <phoneticPr fontId="1" type="noConversion"/>
  </si>
  <si>
    <t>·다양한 보관방법(집어넣는 방식, 밀어넣는 방식 등)으로 해석이 가능하나, 안전스위치 설치와 별도로 중력 등에 의해 운행 중 펼침을 최소화할 수 있는 방법으로 설치</t>
    <phoneticPr fontId="1" type="noConversion"/>
  </si>
  <si>
    <t>① 승강로 내부 구동기의 경우 승강로 내부 또는 구동기 설치층 승강장(승강로 벽면)에 설치
② 카 지붕 위 작업공간에서 구동부 접근이 불가능한 경우 별도의 점검문을 통해 접근
③ 카 지붕 위 작업공간에서 사다리등을 통한 접근 구조 불가</t>
    <phoneticPr fontId="1" type="noConversion"/>
  </si>
  <si>
    <t>[작동시험을 위한 장치의 제공 범위]
 a. 브레이크 관련 작동시험(추락방지안전장치, 상승과속방지수단, 개문출발방지수단 등)을 위한 패널의 제공은 고정 설치가 아닌 별도의 툴로 확인되는 경우 “적합”
 b. 해당 작동시험을 위한 장치는 현장에 반드시 보관하지 않아도 됨</t>
    <phoneticPr fontId="1" type="noConversion"/>
  </si>
  <si>
    <t>① MR: 비상운전 및 작동시험을 위한 장치 제외
② MRL
 a. 비상운전 및 작동시험을 위한 장치를 승강로 외부에 별도 패널 제공되어야 함
 b. 전기적 비상운전 적용 하지 않음</t>
    <phoneticPr fontId="1" type="noConversion"/>
  </si>
  <si>
    <t>① 제어반 및 전면 작업구역 200lx 이상 확보
② 조명스위치는 출입지점 근처에서 조작가능하여야 함
③ 승강장에 설치된 비상운전 및 작동시험을 위한 패널은 50lx 이상 확보
④ 조명장치는 패널 근처에서 조작할 수 있어야 하며, 센서등 설치 불가</t>
    <phoneticPr fontId="1" type="noConversion"/>
  </si>
  <si>
    <t>① 제어패널 부분: 200lx
② 비상운전 및 작동시험: 50lx
③ 구동기 점검 부분: 200lx</t>
    <phoneticPr fontId="1" type="noConversion"/>
  </si>
  <si>
    <t>[높이가 상이한 경우]
 ·엘리베이터 부품과 인체, 화물 등이 협착·충돌하여 안전사고 발생의 우려가 있으므로 보호커버 설치 및 주의문 표시
검사판정: 시정권고</t>
    <phoneticPr fontId="1" type="noConversion"/>
  </si>
  <si>
    <r>
      <t xml:space="preserve"> [자동차용 엘리베이터 종전 검사기준]
 ·노후·수리불능 또는 안전을 강화하기 위해 리모델링하는 승강기는 현행 안전기준에 적합하여야 함. 다만, 승강기의 구동방식, 정격속도, 카 크기, 정격하중이 종전과 비교하여 변경되지 않고, 기계실</t>
    </r>
    <r>
      <rPr>
        <sz val="11"/>
        <color theme="1"/>
        <rFont val="맑은 고딕"/>
        <family val="3"/>
        <charset val="129"/>
        <scheme val="minor"/>
      </rPr>
      <t>‧</t>
    </r>
    <r>
      <rPr>
        <sz val="11"/>
        <color theme="1"/>
        <rFont val="맑은 고딕"/>
        <family val="2"/>
        <charset val="129"/>
        <scheme val="minor"/>
      </rPr>
      <t>승강로 등 건축물 구조의 변경 없이현행 
안전기준의 적용이 불가[“승강로가 협소하여 카도어를 시공하면 기존 카 치수보다 교체한 카 치수가 작아져, 기존 크기 이상의 자동차를 싣지 못하는 구조 등”]한 경우, 이를 증빙하는 서류[사유서, 검토서, 도면 등]를 제출 시 종전 검사기준을 적용할 수 있음
① 카 크기 변경에 따른 자동차용 엘리베이터의 종전 검사기준의 적용
 a. 카 폭만 증가
  - 종전 검사기준 적용에 따른 카 문 제외 가능
 b. 카 깊이만 증가 
  - 종전 검사기준 적용에 따른 카 문 제외 불가 (카 문 설치하여야 함)
 c. 카 높이만 증가 
  - 현행 검사기준에 따른 상부 틈새, 피난공간 확보하여야함
  - 종전 검사기준 적용에 따른 카 문 제외 가능
② 정격속도 변경에 따른 자동차용 엘리베이터의 종전 검사기준의 적용
 a. 정격속도만 증가   
  - 종전 검사기준 적용에 따른 카 문 제외 가능
  - 현행 검사기준에 따른 상부 틈새, 피난
공간 확보되어야 함
③ 구동방식 변경에 따른 종전 검사기준의 적용
 a. 유압식을 전기식으로 구동방식만 변경
  - 종전 검사기준에 따른 상·하부 틈새, 피난 공간 확보하여야함
 b. MR에서 MRL로 변경
  - 종전 검사기준에 따른 상부 틈새, 피난공간 확보되어야 함
④ 정격하중 변경에 따른 자동차용 엘리베이터의 종전 검사기준의 적용
 a. 카 크기 변경 없이 정격하중만 증가 
  - 종전 검사기준 적용에 따른 카 문 제외 가능 
  - 종전 검사기준에 따른 상부틈새 적용 가능
⑤ 복합적 변경에 따른 자동차용 엘리베이터의 종전 검사기준의 적용
 a. 유압식을 전기식으로 변경, 카 폭 증가, 카 깊이 변경 없음, 카 높이 증가 
  - 구동방식 및 카 높이 변경에 따라 현행 검사기준에 따른 상부 틈새, 피난공간 
확보되어야 함
  - 카 깊이 변경이 없으므로 종전 검사기준 적용에 따른 카 문 제외 가능(다만 카 높이를 증가시키지 않아 카문의 설치가 가능한 경우, 카 문 제외 불가)  
 b. 카 크기 및 정격하중 동시 증가
  - 카 폭 증가, 정격하중 증가
: 카 깊이가 변경되지 않았으므로 종전 검사기준 적용에 따른 카 문 제외 가능
  - 카 깊이 증가, 정격하중 증가
: 종전 검사기준 적용에 따른 카 문 제외 
불가 (카 문 설치하여야 함)
 : 종전 검사기준에 따른 상부틈새 적용 가능
  - 카 높이 증가, 정격하중 증가
: 종전 검사기준 적용에 따른 카 문 제외 가능 
: 현행 검사기준에 따른 상부 틈새, 피난공간 확보되어야 함</t>
    </r>
    <phoneticPr fontId="1" type="noConversion"/>
  </si>
  <si>
    <t>승강장문 측면 각각의 폭은 카 출입구 측면 폭보다 50 mm 초과하지 않아야 함</t>
    <phoneticPr fontId="1" type="noConversion"/>
  </si>
  <si>
    <t>[경사로 설치]
 ① 승강장문 문턱과 승강장은 높이 차가 없도록하여 이용자가 걸려 넘어지는 등의 위험을 예방하여야 함
② 승강장(카)문 문턱과의 단차가 없도록 시공하여야 함(경사도와 재질 규정하지 않음)</t>
    <phoneticPr fontId="1" type="noConversion"/>
  </si>
  <si>
    <t xml:space="preserve"> [교체설치 시 수직개폐식 문턱의 재사용]
① 검사방법: 교체설치 시 건축 구조물의 교체를 강제하지 않음
② 검사판정
 a. 수직개폐식 문의 문턱 플레이트 등이 파손되거나 변형되는 경우: 보완
 b. 승강로 내 돌출물이 카의 안전운행에 지장을 주는 경우: 불합격
 c. 승강로 마감 불량으로 낙하물의 위험이 있는 경우: 불합격</t>
    <phoneticPr fontId="1" type="noConversion"/>
  </si>
  <si>
    <t>① 가이드롤러 스틸프레임+리벳 구조 설치 불가
② 승강장문과 문틀부분이 겹쳐 그 자체로 문 이탈방지 기능이 가능한 구조인 경우 문이탈방지장치(비상가이드)로 인정하여 추가 설치 불필요
③ 상부 비상가이드의 구조 확인 시 행거를 제외한 별도의 이탈보호장치가 설치되어 마모, 화재, 부식에 의한 보호 가능 여부 확인</t>
    <phoneticPr fontId="1" type="noConversion"/>
  </si>
  <si>
    <t>[문닫힘 안전장치 적용]
① 접촉식 및 비접촉식 문닫힘 안전장치 모두 미작동 시 불합격 판정
② 비접촉식 문닫힘 안전장치 설치 높이 및 감지: 최소 25 mm, 최대 1800 mm 이상</t>
    <phoneticPr fontId="1" type="noConversion"/>
  </si>
  <si>
    <t xml:space="preserve"> [장애인용 문닫힘 안전장치 적용]
① 기계식과 광감지식이 동시에 설치된 경우 검사 판정 방법
a. 기계식이 불량인 경우: 조건부합격
 b. 광감지식 불량인 경우: 시정권고</t>
    <phoneticPr fontId="1" type="noConversion"/>
  </si>
  <si>
    <t>[전자인터록 사용]
 ① 수직 개폐식의 카문 잠금장치 설치는 부적합하며, 카와 승강로 벽간 거리 기준에 적합하여야 함
② 인증 유효기간이 남은 전자인터록을 사용하는 경우: 적합
③ 추후 안전인증 시 인정하지 않을 계획</t>
    <phoneticPr fontId="1" type="noConversion"/>
  </si>
  <si>
    <t>[문닫힘 안전장치 적용]
① '15.5.13. 전 건축허가(공사계약)일 현장: 카 또는 승강장 중 한 곳 설치
② '15.5.13. 이후 건축허가(공사계약)일 현장: 카 및 승강장 모두 설치</t>
    <phoneticPr fontId="1" type="noConversion"/>
  </si>
  <si>
    <t>설치검사 시 임시조명 설치 허용하지 않음</t>
    <phoneticPr fontId="1" type="noConversion"/>
  </si>
  <si>
    <t>① 승강장문 잠금장치의 덮개는 투명한 덮개 설치하여야 함
② 방폭형 및 수직개폐식 잠금장치는 7.9.1.11에 따라 적합한 구조로 설치되는 경우 투명한 덮개를 사용하지 않아도 인정</t>
    <phoneticPr fontId="1" type="noConversion"/>
  </si>
  <si>
    <t>① 피트 측면 사다리를 통한 승강장문 개방은 피트 내 측면 사다리의 발판(최하층 승강장바닥 위치의 윗 발판)에서 수직 1.8 m, 수평 0.8 m 이내에서 승강장문 잠금장치를 직접 해제 가능하여야 함
② 직접 해제가 가능하지 않는 경우 어떤 수단(개방끈 등)에 의해 개방할 수 있음</t>
    <phoneticPr fontId="1" type="noConversion"/>
  </si>
  <si>
    <t>① 카 문 잠금장치가 잠금해제구간 내에서 수동 개방안됨
 a. '18.8. 전 설치 현장: 관리실 등 매뉴얼 비치
 b. '18.8. 이후 설치 현장: 부적합 판정</t>
    <phoneticPr fontId="1" type="noConversion"/>
  </si>
  <si>
    <t>[수직개폐식 카문의 개방]
 ·카문 잠금장치가 설치된 경우 비상잠금해제 삼각열쇠 이외의 도구가 없어도 승강장문을 열면 카문을 열 수 있어야 함</t>
    <phoneticPr fontId="1" type="noConversion"/>
  </si>
  <si>
    <t>[침대용 엘리베이터 교체공사]
 ① 리모델링(제어반+권상기 포함)하는 경우 현행 안전기준을 적용
② 현행 안전기준 적용 시 정격용량이 변경되므로 건축물 구조계산, 카 체대, 가이드레일 및 지지부, 로프안전율, 권상능력 등 승강기 강도에 대한 설계서류 제출</t>
    <phoneticPr fontId="1" type="noConversion"/>
  </si>
  <si>
    <t>[병원용 엘리베이터 카 크기]
① 검사판정: 카 크기 판정하지 않음
② 안내사항: 병원용 엘리베이터 설계 시 발주처와 충분히 협의하여 해당 건축물에 사용되는 병상의 크기 이상으로 출입문 크기를 확보하는 것이 바람직함을 권고
③ 참고: 의료시설(침상 미사용시설 제외)의 경우 피난용 엘리베이터는 출입문 폭 1,100mm, 카 폭 1,200mm, 카 깊이 2,300mm 이상</t>
    <phoneticPr fontId="1" type="noConversion"/>
  </si>
  <si>
    <t>[카 내 용도 외 구조물 설치(진입방지봉 등)]
① 카 내 구조물 신규 설치 불가, 카 내 구조물 기 설치분 철거
② 철거되지 않은 경우: 조건부합격 판정</t>
    <phoneticPr fontId="1" type="noConversion"/>
  </si>
  <si>
    <t>① 카 벽의 움푹 들어간 공간 또는 확장된 공간의 높이가 1m 미만이고, 최대 카 유효면적 계산에 고려된 경우에만 설치 가능
② 해당 공간은 최대 카 유효면적 계산에 고려
③ 분리형 문으로 보호되는 경우 사람이 탈 수 없으므로 최소 카 유효면적 계산 시 고려하지 않음</t>
    <phoneticPr fontId="1" type="noConversion"/>
  </si>
  <si>
    <t>① 정원, 하중 등 표시 방법(레이저 등)
 a. 표시 방법은 규정하지 않으며, 표시 상태가 명확한 경우: 적합
 b. 표시 상태가 명확하지 않은 경우: 시정권고</t>
    <phoneticPr fontId="1" type="noConversion"/>
  </si>
  <si>
    <t>② 교체 설치하는 승강기의 정원 산정
정원은 건축법령 등 타 법령과 연관된 사항으로 교체하는 승강기의 최초 건축허가일이 '19.3.23. 전의 경우 정격하중 및 권상능력은 현행 안전기준에 모두 적합하여야 하나, 정원은 종전 검사기준에 따라 인당 65 kg로 계산하여 카 내 표시 가능</t>
    <phoneticPr fontId="1" type="noConversion"/>
  </si>
  <si>
    <t>① 카 벽에 유리가 설치된 경우 유리의 유형 및 두께 확인
★ 개별안전인증 시 추락방지안전장치 작동 후 유리가 미끄러지지 않음을 추가 확인
② 유리의 모든 면이 틀에 끼어져 있지 않은 경우 충격시험 공인기관 시험성적서 제출
★ 안전인증을 받은 승강기의 경우 인증 시 충격시험이 수행되었는지 확인</t>
    <phoneticPr fontId="1" type="noConversion"/>
  </si>
  <si>
    <t>[에이프런과 토가드 폭]
 ① 각 승강장문의 문턱 아랫부분 수직면의 폭은 카 출입구 폭에다 양쪽 모두 25mm를 더한 값 이상
② 에이프런의 폭은 마주하는 승강장 유효 출입구의 전체 폭 이상</t>
    <phoneticPr fontId="1" type="noConversion"/>
  </si>
  <si>
    <t>[천장 교체 시 적용]
① 수단을 마련하는 경우 기존 비상구출문 폐쇄 가능
 a. (MR) 카 상부 비상통화장치 설치
 b. (MRL)
  - 비상통화장치+기계적 고정장치 해제 수단 및 매뉴얼 영구 비치
  - 비상통화장치+비상문(1.8m × 0.5m) / 승강장문*(0.5m × 0.7m)
   *승강로밖으로나올수있도록 승강장문 틈새를 확보하는 경우 해당 위치에서 구동기 등 승강기부품 점검이 가능하여야함</t>
    <phoneticPr fontId="1" type="noConversion"/>
  </si>
  <si>
    <t>① 카 지붕의 표면에서 미끄러지지 않게 하여야 함
 a. 카 지붕(부분 단면적) 끝단의 내측 모서리의 50mm 이내 제외 가능
 b. 미끄럼방지 테이프를 이용하는 경우, 간격없이 부착하여야 함
★ 전선은 미끄럼방지 수단 내에 포함되지 않도록 테두리에 둘러 구정 마감
★ 전선이 가로질러 설치되는 경우 덕트를 포함하여 고정 마감
② 카 지붕 위 체대에 서 있을 수 있는 경우 미끄럼방지수단 적용</t>
    <phoneticPr fontId="1" type="noConversion"/>
  </si>
  <si>
    <t>① 카 지붕의 바깥쪽 가장자리에서 승강로 벽까지의 수평거리와 관계없이 카 지붕의 모서리(전면부 포함)에는 발보호판이 설치되어야 함
② 카문 오퍼레이터의 보호커버를 발보호판으로 겸용하여 설치가능하나 끼임이 가능한 구조인 경우 부적합 판정</t>
    <phoneticPr fontId="1" type="noConversion"/>
  </si>
  <si>
    <t>[카 지붕 위 보호난간 일부 구간 미설치]
① 카 지붕 위 보호난간과 승강로 벽 사이 어떤 부품(로프, 레일 등)이 있고 난간으로부터의 자유거리가 0.3 m 이내일 경우 해당구간은 보호난간을 적용하지 않음</t>
    <phoneticPr fontId="1" type="noConversion"/>
  </si>
  <si>
    <t>[카 지붕 위 보호난간 일부구간 체인 적용]
 - 적용불가</t>
    <phoneticPr fontId="1" type="noConversion"/>
  </si>
  <si>
    <t xml:space="preserve"> [카 지붕 위 보호난간 중간봉 설치]
① 보호난간의 1/2 높이 지점에 중간봉 설치
② 중간봉 사이 간격은 난간의 1/2 지점(550mm 이내)이어야 하며, 여러개 중간봉 설치 가능</t>
    <phoneticPr fontId="1" type="noConversion"/>
  </si>
  <si>
    <t>[카 지붕 위 접이식 보호난간]
① 공구를 사용한 접이식 난간: 부적합 판정 / 2017-07-01
② 카 지붕 위 접이식 보호난간 적용 불가</t>
    <phoneticPr fontId="1" type="noConversion"/>
  </si>
  <si>
    <t xml:space="preserve"> [카의 출입구가 2개인 경우]
 ·2개의 카 출입구에서 벽까지의 거리가 0.3m를 초과하는 경우: “ㅁ” 형태로 설치</t>
    <phoneticPr fontId="1" type="noConversion"/>
  </si>
  <si>
    <t xml:space="preserve"> [카 지붕 위 보호난간 외부 공간]
보호난간 바깥의 사다리 고정 브라켓 등을 포함하여 사람이 서 있을 수 있는 구조 및 면적에 해당하는 경우 경고 문구 부착</t>
    <phoneticPr fontId="1" type="noConversion"/>
  </si>
  <si>
    <t xml:space="preserve"> [보호난간과 로프 보호수단 겸용]
로프의 간섭이 없는 조건에서 보호조치 되어야 함</t>
    <phoneticPr fontId="1" type="noConversion"/>
  </si>
  <si>
    <t xml:space="preserve"> [카문 방향으로 설치된 카 지붕 위 보호난간]
카문 방향으로 설치된 보호난간은 작업자의 안전한 진출입을 위해 안전스위치가 설치되고 공구 없이 간단하게 탈착(회전 포함)이 될 수 있는 보호난간으로 설치하여야 하며, 강도는 엘리베이터 안전기준에 적합하여야 함
① 보호난간이 두 곳 이상 탈착(회전 포함) 가능하도록 설치된 부분은 각각의 안전스위치가 설치되어야 함
② 카문 방향으로 설치된 중간봉은 탈착 불필요
③ 보호난간의 강도계산서는 안전인증 시 제출</t>
    <phoneticPr fontId="1" type="noConversion"/>
  </si>
  <si>
    <t>① 카 지붕 위 점검운전 조작반 고정식으로 설치(고정식 조작반+이동식 점검운전 리모컨 부적합)
② 점검운전 조작반 내 비상통화장치 버튼 별도 설치 가능</t>
    <phoneticPr fontId="1" type="noConversion"/>
  </si>
  <si>
    <t>[정상 조명에 대한 해석]
 ·정상 조명전원이 차단되는 경우란, 건물 정전으로 조명이 차단되는 경우로 적용하며 즉시 자동으로 점등되어야 함</t>
    <phoneticPr fontId="1" type="noConversion"/>
  </si>
  <si>
    <t>[쐐기형 소켓의 U클립 체결 방식]
① 1개 이상의 U클립 체결
 a. 박음키 및 분할핀 등 부속물 체결 상태 확인
 b. 포지티브 방식: 2개 이상 체결
② 클립 새들의 체결 방향
 a. 반드시 하중이 걸리지 않는 부분에 새들 방향 확인
 b. 하중이 걸리는 쪽 U클립 체결 시 로프 꺾임 등으로 파단 가능성이 있으므로 부적합 판정</t>
    <phoneticPr fontId="1" type="noConversion"/>
  </si>
  <si>
    <t xml:space="preserve"> [바빗채움 방식]
① 매다는 장치의 끝부분은 바빗채움 방식 설치 불가
② 보상수단의 균형로프 끝부분은 안전율 5 이상의 증빙서류 제출 시 사용 가능
★ 설치검사가 아닌 경우 바빗식의 사용을 판정하지 않음</t>
    <phoneticPr fontId="1" type="noConversion"/>
  </si>
  <si>
    <t>·승강기 운행구간 내 종단층 근방의 정속 주행 중 검사기준에 따른 하중에서 비상정지하여 완충기에 충돌하기 전까지 미끄러지는 경우 적합 판정
★ 감속구간이 아닌 정속구간 중 비상정지하여 미끄러짐 확인 필요</t>
    <phoneticPr fontId="1" type="noConversion"/>
  </si>
  <si>
    <t>[보상수단의 제거]
① (종전 현장) 시정권고
② (개정 현장) 조건부합격(보완)</t>
    <phoneticPr fontId="1" type="noConversion"/>
  </si>
  <si>
    <t xml:space="preserve"> [교체 수시검사 시 추가 설치된 보상수단]
보상수단 및 보상수단의 부속품은 영향을 받는 모든 정적인 힘에 대해 5 이상의 안전율 증명</t>
    <phoneticPr fontId="1" type="noConversion"/>
  </si>
  <si>
    <t>[추가적인 보호조치]
추가적인 보호조치로 와이어 로프의 사용 허용</t>
    <phoneticPr fontId="1" type="noConversion"/>
  </si>
  <si>
    <t xml:space="preserve"> [보상수단의 용접허용]
 ① 공장용접
 a. 공장에서 용접하여 인증심사 시 안전율을 만족하여 출하된 제품 사용
 b. 적용: 즉시
② 현장용접
 a. 검사신청 시 아래 모든 서류 제출
  - 설계도면
  - 강도계산서
  - 자체확인서(확인자 서명 필수)
 b. 적용: ~'24.12.31.까지 제조사 자체 강도계산서 제출 시 인정
: '24.12.31.이후 설치검사 시 모든 서류 제출</t>
    <phoneticPr fontId="1" type="noConversion"/>
  </si>
  <si>
    <t>[보호수단의 적용범위]
① 도르래 사이의 물체의 유입 등 위험이 존재하는 경우 보호수단 설치하여야 함
② 인체보호를 위한 보호수단 설치하여야 함</t>
    <phoneticPr fontId="1" type="noConversion"/>
  </si>
  <si>
    <t>[카 하부 도르래 물체유입 보호수단]
 (티케이엘리베이터)
① '18.4. 전 검사분: 시정권고
② '18.4. 이후 검사분: 부적합 판정</t>
    <phoneticPr fontId="1" type="noConversion"/>
  </si>
  <si>
    <t>[구동기 회전부품 상부 유효거리]
① MR: 유효 수직거리 미달 시 부적합 판정
② MRL: 유효 수직거리 미달되더라도 보호 조치되는 경우 적합 판정</t>
    <phoneticPr fontId="1" type="noConversion"/>
  </si>
  <si>
    <t>[카 지붕 위 설치되는 과속조절기의 보호수단]
기계실, 승강로 상부공간, 피트에 위치하여 작업자 보호를 위한 보호조치 되어야 함</t>
    <phoneticPr fontId="1" type="noConversion"/>
  </si>
  <si>
    <t xml:space="preserve"> [주 도르래 메쉬망 적용 여부]
① 매쉬망 구조는 규정하지 않음
② 점검 등 유지관리를 위해 필요한 경우 떼어낼 수 있어야 함</t>
    <phoneticPr fontId="1" type="noConversion"/>
  </si>
  <si>
    <t xml:space="preserve"> [보조도르래 보호수단]
로프와 풀리/체인과 스프라켓 사이의 물체유입은 로프/체인이 권상도르래 또는 풀리/스프라켓에 수평 또는 최대 90도까지 수평의 어떤 각도로 들어가고 있는 경우 요구됨</t>
    <phoneticPr fontId="1" type="noConversion"/>
  </si>
  <si>
    <t>① 보호수단의 설치여부와 관계없이 회전방향 및 
회전여부 등을 확인할 수 있으면 인정
 a. 점검구가 설치된 경우: KS B ISO 13857, 표 4에 따른 구멍크기 확인
 b. 보호수단에 구멍이 없는 경우: 회전하는 부품의 어느곳이던 회전방향 및 회전여부 등을 확인할 수 있으면 인정</t>
    <phoneticPr fontId="1" type="noConversion"/>
  </si>
  <si>
    <t>[균형추 추락방지안전장치가 있는 경우 균형추 측 과속조절기 스위치 미작동 판정]
주요 안전장치의 기능을 제거하거나 무효화한 경우 불합격 판정
★ 문닫힘안전장치는 개별사안에 대한 검토에 따라 일부 허용</t>
    <phoneticPr fontId="1" type="noConversion"/>
  </si>
  <si>
    <t xml:space="preserve"> [추락방지안전장치 검사방법]
① 설치검사, 정밀안전검사, 수시검사: 정격하중(또는 125%)에서 정격속도(필요한 경우 점검운전속도)로 추락방지안전장치의 작동여부 확인
★ 추가적으로 무부하에서 점검운전속도로 추락방지안전장치의 작동여부를 확인하는 경우에도 하강방향으로 움직이는 카를 정지시킬 수 있어야 함
② 정기검사: 무부하에서 점검운전속도로 추락방지안전장치의 작동여부 확인
③ 승강기인증: 무부하(점검운전 속도)를 포함하여 추락방지안전장치의 작동 확인</t>
    <phoneticPr fontId="1" type="noConversion"/>
  </si>
  <si>
    <t>[감속도의 범위]
 ① 최대: 비상정지장치 작동 및 완충기에 정지할 때 감속도 이내
② 최소: 자율안전확인 안전기준 엘리베이터 권상기 제동장치의 최대 제동거리는 0.05 g 상당거리 이내로 규정
③ 설치/수시검사 시 안전기준에 따라 정격하중의 125%를 싣고 카가 정지하는지
확인하고 감속도 측정</t>
    <phoneticPr fontId="1" type="noConversion"/>
  </si>
  <si>
    <t xml:space="preserve"> [상승과속방지장치 이중 설치 시 감속도]
상승과속방지장치(이중브레이크, 디스크브레이크 등)과 로프브레이크가 동시에 설치된 경우 제동 감속도(1g 이하) 관련 제조사 자체 시험성적서 제출</t>
    <phoneticPr fontId="1" type="noConversion"/>
  </si>
  <si>
    <t xml:space="preserve"> [설치,수시검사 시 EL-Scan 사용]
① 감속도 측정 시 감속도 측정 장비로 측정
② 운행거리가 짧은 승강기의 속도 측정 시 속도계로 기준 범위 내에 포함되지 않아 정밀한 측정이 필요한 경우 EL-Scan으로 측정하여 판정</t>
    <phoneticPr fontId="1" type="noConversion"/>
  </si>
  <si>
    <t xml:space="preserve"> [비상정지장치 감속도 측정의 구분 필요(정밀안전검사)]
① 비상정지장치 작동 시험은 정격속도가 아닌 점검운전속도(저속)로 작동해야 함에 따라 측정되는 감속도의 신뢰도가 저하되어 측정 제외
② 전산입력은 “0” 입력*
  * 전산입력 “0” - 평가서 “-”로 표시
★ 정밀안전검사에서 비상정지장치 감속도 측정은 성능평가 항목으로 분류됨</t>
    <phoneticPr fontId="1" type="noConversion"/>
  </si>
  <si>
    <t>[과속조절기 로프와 비상정지장치의 분리]
① 과속조절기 로프와 비상정지장치의 연결부 분리는 간단한 조작에 의해 분리되는 구조로 유지관리용 공구(스패너)를 사용하여 분리할 수 있어야 함
② 과속조절기 로프와 비상정지장치 연결부 분리 시 과속조절기 로프 간 연결이 분리되어 위험상황이 발생되는 구조 불가</t>
    <phoneticPr fontId="1" type="noConversion"/>
  </si>
  <si>
    <t>[로프 또는 체인 이완감지장치 검사]
① 로프 또는 체인 이완감지장치는 로프 또는 체인이 늘어진 경우 지속적으로 감지가 유지되는 구조인지 확인
 a. 로프/체인 이완감지장치가 늘어짐을 감지(설치위치 불량)하지 못하는 등 검사기준에 부적합한 경우 : 불합격 판정
 b. 로프/체인 이완감지장치가 지속적으로 감지되지 않는 경우: 보완 및 조건부합격 판정 예) 이완감지장치가 처음에는 로프/체인의 늘어남을 감지하나 과도하게 늘어남에 따라 감지장치를 벗어나 지속적으로 감지되지 않는 구조
★ 어떠한 상황에도 이완감지장치는 로프/체인의 이완을 지속적으로 감지하는 구조이어야 함</t>
    <phoneticPr fontId="1" type="noConversion"/>
  </si>
  <si>
    <t xml:space="preserve"> [유압식 엘리베이터 로프 또는 체인 이완감지장치(하강밸브) 검사]
① 카의 끼임 등에 따라 로프(체인)이 이완됨을 감시하여 작동하는 장치임
② 카의 끼임이 발생하는 경우 유압 작동유의 압력은 저감됨
③ 이에 로프 이완 감시장치 작동 시 유압 작동유의 압력이 저감되어 수동하강 밸브 내 압력감지밸브를 작동시켜 수동하강운전을 정지시켜야 함</t>
    <phoneticPr fontId="1" type="noConversion"/>
  </si>
  <si>
    <t>[두가지 이상의 인증부품을 혼합하여 설치한 경우]
① 제원입력 방법
 a. 로프브레이크와 이중브레이크가 동시에 설치된 경우 기술서류로 승인한 대상품을 제원에 입력
 b. 추가 설치된 이중브레이크 또는 로프브레이크는 작동상태를 확인하여 부적합한 경우 조건부합격 판정</t>
    <phoneticPr fontId="1" type="noConversion"/>
  </si>
  <si>
    <t>② 기준 적용: 설치검사 시 개문출발방지장치 또는 상승과속방지장치를 위해 두가지 이상의 부품이 설치되어 있는 경우 두가지 중 어느 하나임을 확인
 a. 부품인증 시 두가지 부품을 하나로 안전인증
 b. 승강기 안전인증(모델/개별) 설계심사 시 두가지 부품으로 인증
★ 사용중인 승강기에 추가로 부품을 설치하는 경우 안전성평가 대상</t>
    <phoneticPr fontId="1" type="noConversion"/>
  </si>
  <si>
    <t>③ 인증: 이중브레이크와 로프브레이크가 동시에 작동하지 않는 것을 확인(서류)
④ 검사: 검사 시 로프브레이크 정지거리만 확인</t>
    <phoneticPr fontId="1" type="noConversion"/>
  </si>
  <si>
    <t>[정밀안전검사 시 카의 의도하지 않은 움직임에 대한 보호수단의 분동 적용]
정격하중의 100%, 무부하 모두 검사 실시
★ 로프브레이크, 카브레이크 등 현장검사가 가능한 보호수단일 경우에 한함</t>
    <phoneticPr fontId="1" type="noConversion"/>
  </si>
  <si>
    <t xml:space="preserve"> [유압식 엘리베이터 개문출발방지장치 UCMP 밸브의 압력을 초과하는 경우]
수시검사(제어반 교체 등)의 경우
① 노후수리 불능 등에 따라 부분교체하는 것으로 실린더 교체를 적용할 수 없음
② 적용 범위에 맞는 밸브 설치 또는 실린더 교체  - 시정권고 판정
③ 기준적용일이 '18.12.31. 이전이고 구동기+제어반 교체에 따라 설치날짜가 바뀌는 수시검사인 경우 압력을 초과하지 않아야 함</t>
    <phoneticPr fontId="1" type="noConversion"/>
  </si>
  <si>
    <t xml:space="preserve"> [유압식 엘리베이터 개문출발방지장치 작동 시험]
① 제조사의 제공 매뉴얼에 따른 시험방법 절차대로 검사 진행 및 확인
② 정지거리 검사가 불가한 경우, 개문출발방지장치 작동 신호에 따른 램프 등으로 갈음 가능
  - 이 경우 검사기록표 내 정지거리 공란</t>
    <phoneticPr fontId="1" type="noConversion"/>
  </si>
  <si>
    <t>[이중브레이크가 설치된 승강기 수시검사 방법]
① 상승과속방지장치 및 개문출발방지장치 검사가 가능하도록 패널이 구비된 제어반으로 교체된 경우 현장검사 실시
② 해당 패널이 구비되지 않은 제어반으로 교체하거나 제어반이 교체되지 않은 
수시검사인 경우, 설치상태(이중브레이크 설정상태, 스위치 설치상태 등) 현장검사 및 정지거리 성적서 서류검사로 대체</t>
    <phoneticPr fontId="1" type="noConversion"/>
  </si>
  <si>
    <t>① 기존의 승강기 부품을 재사용하는 경우 안전기준에서 요구하는 강도 등이 증명되어야 함
② 주행안내 레일, 레일의 부분품, 기계대, 완충기 지지대를 재사용하는 경우 인증
에서 승인된 규격 이상을 사용하여야 함(자기적합확인서 제출)
 a. 주행안내 레일: 규격이상 확인
 b. 레일의 부분품: 설치간격 확인*
  * 설치간격 초과: 레일브라켓 추가 또는 계산서 제출
 c. 기계대: 설치상태(고정상태 등) 확인
③ 규격이하의 경우 변경사항에 대한 안전인증을 받아야 하며 정격속도, 하중 등
설계내용이 변경되는 수시검사의 경우 주행안내레일, 구동기지지대 안전성검토
확인서 및 자기적합확인서를 추가로 제출하여야 함</t>
    <phoneticPr fontId="1" type="noConversion"/>
  </si>
  <si>
    <t>[교체공사 시 균형추 측 슬라이딩 클립 인정 여부]
① 슬라이딩 클립은 승강행정이 40m 이상에서 열팽창 또는 건물 침하(정착)에 의해 가이드레일의 움직임이 있는 곳에 사용되어야 함
② 다만, 교체되지 않은 주행안내 레일 및 주행안내 레일의 부분품은 종전 기준으로 적용할 수 있으나 승강행정에 따라 적합한 클립으로 교체하는 것이 바람직함</t>
    <phoneticPr fontId="1" type="noConversion"/>
  </si>
  <si>
    <t>[개별인증 승강기 검사방법]
검사기준의 하중과 점검운전 속도로 완충기를 완전히 눌러 엘리베이터 또는 완충기의 설치상태 확인</t>
    <phoneticPr fontId="1" type="noConversion"/>
  </si>
  <si>
    <t>[병렬형(다중) 에너지분산형 완충기]
① 각각의 완충기에는 복귀 확인스위치가 모두 설치되어 완충기의 복귀상태를 확인할 수 있어야 함
② 스위치는 직렬로 연결되어야 함</t>
    <phoneticPr fontId="1" type="noConversion"/>
  </si>
  <si>
    <t>① 권상기는 철골이나 내력벽 위에 얹히도록 설치되어야 함
② 철골 구조에 임의의 부재를 사용하여 용접 형태로 고정하는 경우 안전성 확인 어려움
★ 부자재의 구조계산서 또는 구조 안전 확인서를 제출하여야 함
③ 승강로 구조는 건축허가서로 갈음하고 있으며, 허가를 득하지 않은 구조(허가서에 포함되지 않은 구조)인 경우 승강로 구조계산서 또는 승강로 구조 안전 확인서 
제출하여야 함
④ 기계대가 철골이나 벽 위에 얹히지 않고 임의 부재로 고정하는 경우 허가를 득하지 않은 철골이나 벽으로 간주 되므로 구조기술사의 서류 등을 받아야 함</t>
    <phoneticPr fontId="1" type="noConversion"/>
  </si>
  <si>
    <t xml:space="preserve"> [수시검사]
① 제어반 등 부분교체 수시검사 시 오버밸런스 측정
② 제조사로부터 오버밸런스 설계치를 받아 설계치 이내인지 확인</t>
    <phoneticPr fontId="1" type="noConversion"/>
  </si>
  <si>
    <t xml:space="preserve"> [오버밸런스 전류차]
① 기술서류: 제조업체에서 제출한 정격하중의 균형량(오버밸런스율) 및 상승/하강 전류 차에 대한 설계값
② 현장검사: 50%의 하중을 카에 적재하고 정격속도의 상승/하강 전류 차가 설계치 범위 이내인지 확인
③ 제원사항: OB U/D 전류차로 표시, 제조사의 설계값 입력</t>
    <phoneticPr fontId="1" type="noConversion"/>
  </si>
  <si>
    <t xml:space="preserve"> [균형추 개수 표기]
균형추 수량을 균형추 프레임 하단에 표기(수량: 00EA, 날짜: 00.00.00)</t>
    <phoneticPr fontId="1" type="noConversion"/>
  </si>
  <si>
    <t>[설치(수시)검사 시 카 내 보양재 설치 및 카 바닥 마감재 미설치된 경우]
① 검사준비
 a. 무게에 상응하는 자재 등을 준비 또는 설치
 b. 무게와 관련된 증빙서류 제출
② 판정: 최종 사용(적용)되는 조건 하에서 오버밸런스 세팅이 불가한 경우 보완 판정</t>
    <phoneticPr fontId="1" type="noConversion"/>
  </si>
  <si>
    <t>[하중검사 실시에 따른 확인사항]
① 정격하중의 125%: 권상력 및 브레이크 제동 확인
② 정격하중의 110%: 과부하감지장치(운행 불필요)
③ 정격하중의 100%: 설계속도 확인
④ 정격하중의 50%: 오버밸런스 확인</t>
    <phoneticPr fontId="1" type="noConversion"/>
  </si>
  <si>
    <t>[125% 분동 적재 후 상승 시 과전류 에러]
① 정격하중의 125 % 브레이크 제동력 테스트 시 최상층까지 분할 운반 가능
② 권상능력에는 문제 없어야 함</t>
    <phoneticPr fontId="1" type="noConversion"/>
  </si>
  <si>
    <t>[브레이크 제어회로 개선]
 (티케이: T51 SN01)
① 문제점: 엘리베이터 정상운전과 전기적 비상운전 시 브레이크 제어회로가 1개의 전기장치로 구성
② 회로개선: 정상운전 및 비상운전에 대해 각각의 브레이크 제어회로는 2개의 전기장치로 차단할 수 있도록 별도의 전기장치를 추가
③ 적용: 설치/수시(제어반교체)검사: 보완정기검사: '18. 10. 1. 이후 조건부합격
④ 검사방법: 제어반 내 ‘KEBRK’ 마그네트 강제 융착 시 브레이크 개방 여부 확인
  - 개방되는 경우 보완(조건부합격) 판정</t>
    <phoneticPr fontId="1" type="noConversion"/>
  </si>
  <si>
    <t>[기계실 제어반 내 전기적 비상운전 스위치]
기계실 제어반 내 비상운전스위치 두 종류 설치 가능
① 비상운전스위치 1개 설치: 승강기 운전제어와 5가지 안전장치 무효화 가능
② 비상운전스위치 2개 설치
 a. 첫 번째 스위치: 승강기 운전제어
 b. 두 번째 스위치: 5가지 안전장치 무효화
★ 첫 번째 스위치는 승강기 운전을 위한 추가 운전제어 스위치임</t>
    <phoneticPr fontId="1" type="noConversion"/>
  </si>
  <si>
    <t>[수동비상운전수단 휠 구조]
카를 움직이는 수단으로 휠이 사용되는 경우 휠의 구조는 부드럽고 바퀴살이 없는 구조이어야 함</t>
    <phoneticPr fontId="1" type="noConversion"/>
  </si>
  <si>
    <t>[수동비상운전수단 제거 확인 스위치]
평상시 구동기와 일체형으로 고정된 휠에 적용
★ 일체형 고정 휠이 제거되거나 풀리는 경우 정상적인 엘리베이터 운행이 불가한 구조이므로 휠이 구동기에 재 연결되기 전까지는 전기안전장치에 의해 엘리베이터 정지</t>
    <phoneticPr fontId="1" type="noConversion"/>
  </si>
  <si>
    <t xml:space="preserve"> [연속되는 상하 승강장문의 문턱간 거리가 11m 초과한 경우 건축허가별 전기적 비상운전 제어의 예비전원 적용]
① 종전의 「승강기 안전검사기준」을 적용하여 검사를 받고 사용중이거나 건축허가 ('19.3.28. 이전 건축허가)가 진행중인 승강기에 대해 해당 안전기준 및 고시에 
따라 전기적 비상운전을 적용할 수 있음(신규 및 교체 설치검사)
② 전기적 비상운전 제어가 적용되는 경우 정상적인 주전원 또는 예비전원으로부터 전원이 공급
 a. 주전원 공급 시: 정상적인 주전원에 의한 전기적 비상운전 제어
 b. 정전 시: 예비전원(무정전 전원장치, 비상발전기 등)에 의한 전기적 비상운전 제어</t>
    <phoneticPr fontId="1" type="noConversion"/>
  </si>
  <si>
    <t xml:space="preserve"> [비상운전 검사 중 전원 차단 후 복귀 시 승강기 운행불가]
승강기 안전검사 및 자체점검에서 발생하는 승강기 부품 손상 방지를 위해 제조사는 안전한 검사 및 점검 방법을 제시하여야 함</t>
    <phoneticPr fontId="1" type="noConversion"/>
  </si>
  <si>
    <t>[기계적 비상운전 수단 개수]
각각의 엘리베이터마다 기계적 수단 또는 전기적 수단이 비상운전 수단으로서 구성되어야 함</t>
    <phoneticPr fontId="1" type="noConversion"/>
  </si>
  <si>
    <t>[균형량(오버밸런스율) 검사]
정격하중의 균형량에 따른 하중을 카에 적재하고 정격속도로 상승할 때와 하강할 때
① 전류 차이가 설계치 범위 이내인 경우 합격
② 제조사에서 제시하는 방법으로 2~3회 추가 시험에도 설계치 범위 초과 시 불합격</t>
    <phoneticPr fontId="1" type="noConversion"/>
  </si>
  <si>
    <t>① 기계실이 있는 엘리베이터의 경우 현수로프 또는 과속조절기의 로프에 전층 
표시하는 방법 등으로 잠금해제 구간의 도착 여부 확인 가능
  - 구출운전하는 장소에서 확인이 가능하여야 함
② 예비전원은 건축물의 정전 시 공급되는 전력으로 승강기의 전원계통 고장 또는 주개폐기를 차단한 상태에서의 구출운전 중 잠금해제구간을 확인할 수 없음으로 적용 불가</t>
    <phoneticPr fontId="1" type="noConversion"/>
  </si>
  <si>
    <t>[수시검사 시 적용]
① 제어반+구동기* 교체: 적용
 *구동기: 권상기+전동기+제동기
② 제어반 교체: 적용 제외</t>
    <phoneticPr fontId="1" type="noConversion"/>
  </si>
  <si>
    <t>[전자파 인증]
자동구출운전장치의 전자파 인증서 불필요하며 동작 상태만을 확인</t>
    <phoneticPr fontId="1" type="noConversion"/>
  </si>
  <si>
    <t>[50% 적재 후 카와 균형추가 만나는 지점에서 자동구출운전 작동 안되는 경우]
설치(수시)검사 시 확인하여 부적합한 경우 보완(조건부합격) 판정</t>
    <phoneticPr fontId="1" type="noConversion"/>
  </si>
  <si>
    <t xml:space="preserve"> [발전기 설치현장 배터리 설치 제외 가능 여부]
적용 불가하며, 각 엘리베이터에 투입되는 전원이 차단되는 경우에도 비상발전기로 전원이 투입될 수 있어야 함</t>
    <phoneticPr fontId="1" type="noConversion"/>
  </si>
  <si>
    <t>[소방구조용 엘리베이터 전원공급장치]
① 두가지 방안 중 어느 하나에 적합할 경우 적용
 a. 자동구출운전 작동을 모두 포함하여 60초 이내에 소방구조용 엘리베이터 보조 전원공급장치로 전환
 b. 자동구출운전의 문 열림 1회를 포함하여 60초 이내에 소방구조용 엘리베이터 보조 전원공급장치로 전환
② 소방스위치 “0” 위치에서는 자동구출운전수단 작동
③ 소방스위치 “1” 전환에 따른 소방운전에서는 건축 전원이 차단되면 자동구출운전장치 작동 후 17.2.9.2.3 가) 만족</t>
    <phoneticPr fontId="1" type="noConversion"/>
  </si>
  <si>
    <t>[안전장치]
문닫힘안전장치, 카 내 조명 또는 비상등, 카 내 비상통화장치 등 카 내 이용자 관련 안전 기능은 정상 작동 되어야 함</t>
    <phoneticPr fontId="1" type="noConversion"/>
  </si>
  <si>
    <t xml:space="preserve"> [전동기 구동시간 제한장치 적용 제외]
 ① 중력방식(무게차)에 따라 경부하 방향으로 움직이도록 설계되어 있으므로 전동기 과부하가 발생하지 않는 구조임
② 전동기 구동시간 제한장치의 적용 제외</t>
    <phoneticPr fontId="1" type="noConversion"/>
  </si>
  <si>
    <t>[군관리 운전 시 개별 승강기의 자동구출운전]
군관리 운전 제어부의 이상(전원차단, 고장 등)으로 개별 승강기의 정상운전에 영향을 끼치지 않아야 함</t>
    <phoneticPr fontId="1" type="noConversion"/>
  </si>
  <si>
    <t>[검사방법]
 ① MR
 a. 카를 점검운전으로 층과 층사이에 정지 후 점검운전을 자동전환(고장구현)
 b. 기계실 내 분전반 차단기 전원 off(정전구현)
 c. 자동구출운전 작동 확인
② MRL
 a. 카를 점검운전으로 층과 층사이에 정지 후 점검운전을 자동전환(고장구현)
 b. 주개폐기 전원 off 후 별도의 테스트 스위치 작동(정전구현)
 c. 자동구출운전 작동 확인
★ 제조사와 협의하여 구성된 시스템으로 보관 및 제출되는 제조사의 자동구출운전 매뉴얼 참조
③ 자동구출운전의 원활한 검사를 위해 자동구출운전 테스트 버튼 설치 권장
 a. 자동구출운전 테스트 버튼이 설치되지 않은 경우 건물 측 수전반은 제어반(비상패널) 근처에 설치하는 것이 바람직함
 b. 수전반의 위치 확인이 불가한 경우 접근방법을 매뉴얼에 표시
④ 제조사가 제시하는 자동구출운전 등의 안전한 검사 및 점검 방법을 매뉴얼에 기재</t>
    <phoneticPr fontId="1" type="noConversion"/>
  </si>
  <si>
    <t>[비상문을 승강장으로 적용가능 여부]
자동구출운전 시 카는 자동으로 가장 가까운 승강장으로 이동하여야 하나 비상문이 설치되는 전면공간은 승강장이 아니므로 자동구출운전 시 비상문이 설치된 층으로 이동하는 것은 불가</t>
    <phoneticPr fontId="1" type="noConversion"/>
  </si>
  <si>
    <t xml:space="preserve"> [문 열림 횟수]
자동구출운전장치 작동 시 문 열림 횟수에 대하여 제한하지 않으므로 배터리 용량 등 안전기준에 따라 제조사 및 유지관리업체에서 충분하게 설계하여 관리</t>
    <phoneticPr fontId="1" type="noConversion"/>
  </si>
  <si>
    <t>[속도 판정]
① 정기검사 시 카의 정격속도 범위를 벗어난 경우 조건부합격 판정
② 승강기시설 안전관리법('92.7.1.) 시행 전 설치된 승강기의 정밀안전검사의 경우 
시정권고
③ 정격속도를 변경한 경우 수시검사 대상</t>
    <phoneticPr fontId="1" type="noConversion"/>
  </si>
  <si>
    <t xml:space="preserve"> [유압식 엘리베이터 정격속도]
① 기준해석: 빈 카의 상승 운행속도와 정격하중을 실은 카의 하강 운행속도의 제한을 의미
② 운행속도의 범위는 정격속도의 ±8 %
③ 설치, 수시, 정밀안전검사 시 0%(상승), 100%(하강) 측정
④ 정기검사 시 0%(상승)만 측정, 하강은 제외</t>
    <phoneticPr fontId="1" type="noConversion"/>
  </si>
  <si>
    <t xml:space="preserve"> [구동기 관련 승강기안전부품의 로핑, 적용하중, 속도 적용]
① '19. 3. 28. 이전 상승과속방지장치 인증 시 
1:1 로핑으로 인증받은 것을 2:1 로핑으로 설치 시 속도를 1/2로 줄이면 적용 하중을 2배로 사용가능한 것으로 인정하였고 이후 UCMPM 안전성평가에서도 이를 준용하여 인정함
★ 1:1 로핑으로 인증받은 경우, 상기 조건을 만족한다면 2:1 로핑 적용 가능
② 구동기 관련 승강기안전부품(구동기, 상승과속방지장치, 개문출발방지장치) 전체에도 종전과 같이 동일하게 적용</t>
    <phoneticPr fontId="1" type="noConversion"/>
  </si>
  <si>
    <t>[가설(임시)전원 수급 현장 검사판정]
검사 신청인이 임시전원 사용으로 수검을 요청한 경우, 다른 부적합 사항이 없고 정상주행 시 합격 판정</t>
    <phoneticPr fontId="1" type="noConversion"/>
  </si>
  <si>
    <t xml:space="preserve"> [정밀안전검사 시 오버밸런스 부하에서의 속도 측정]
검사기준에 적용되는 장치(기능)이 설치되어 있고 측정장비로 검사가 가능하다면 관련 검사기준에 맞춰 속도를 측정하고 입력하여야 함</t>
    <phoneticPr fontId="1" type="noConversion"/>
  </si>
  <si>
    <t>[전 부하 압력 측정 방법]
 ① 정격하중의 최상층에서 유압잭에 연결된 관의 정압력으로 현장측정 불가
 a. 검사방법: 정격하중(100 %)의 카가 최상층에 도착하기 전 압력 확인
 b. 검사판정: 기술서류의 전 부하 압력보다 큰 경우 지적</t>
    <phoneticPr fontId="1" type="noConversion"/>
  </si>
  <si>
    <t>① 릴리프 밸브의 압력을 전 부하 압력의 140%까지 제한하도록 맞추어 조절되어야 함
② 140% 초과 170% 미만으로 조절하려는 경우 관련 기술서류가 제출되어야 함</t>
    <phoneticPr fontId="1" type="noConversion"/>
  </si>
  <si>
    <t>① 작업구역 바닥에서 위로 0.4m 이상에 설치: 제어반의 주전원 차단기, 제어장치, 유지관리용 부품
② 작업구역 바닥에서 위로 0.2m 이상에 설치 권장: 단자(전기회로, 전기기기, 정지장치 등이 회로와 연결되는 부분, 전기장치가 외부와 연결하기 위해 마련한 도체의 끝부분)</t>
    <phoneticPr fontId="1" type="noConversion"/>
  </si>
  <si>
    <t>① MR, 제어반이 승강로 외부에 위치한 MRL
 a. 제어반 내 주 개폐기가 있는 경우: 해당 주 개폐기를 적용
 b. 제어반 내 주 개폐기가 설치되지 않은 경우: 별도의 분전반 내 차단기를 주 개폐기로 인정
② 제어반이 승강로 내부에 위치한 MRL
 a. 비상운전 및 작동을 위한 패널에 주 개폐기가 위치하여야 함
  - 단, 비상운전 패널과 작동시험 패널이 구분된 경우 비상운전 패널에 위치
③ 주 개폐기가 제어반, 비상운전 패널 등에 포함된 경우 분전반의 위치와 관련하여 별도 규정하지 않음
  - 분전반 내 타 설비의 차단기와 엘리베이터 차단기가 함께 있는 경우 명판 등으로 구분
④ 분전반이 기계실, 기계류 공간, 승강로, 풀리실 등 엘리베이터 공간에 포함된 경우 엘리베이터와 관계없는 설비의 차단기는 포함되지 않아야 함</t>
    <phoneticPr fontId="1" type="noConversion"/>
  </si>
  <si>
    <t>주 개폐기가 위치한 패널의 덮개 개폐 시 별도의 공구가 필요한 경우 부적합 판정</t>
    <phoneticPr fontId="1" type="noConversion"/>
  </si>
  <si>
    <t>① 엘리베이터에 탑승하는 로봇은 한국산업표준 KS B 7317에 적합해야 하고 관련된 공인기관의 안전성 평가를 받아야 함
 a. 한국산업표준 KS B 7317에 부합하지 않는 로봇 엘리베이터 탑승 불가
 b. 로봇 탑승용 엘리베이터 카 내부에 14.11 나)에 따른 표시가 있어야 함
 c. 로봇 탑승용 엘리베이터 무선통신장치가 설치된 경우 부속서 5, 6에 따라 안전성 입증</t>
    <phoneticPr fontId="1" type="noConversion"/>
  </si>
  <si>
    <t>전기고장에 대한보호; 고장분석</t>
    <phoneticPr fontId="1" type="noConversion"/>
  </si>
  <si>
    <t>[승강기에 센서나 일반 안전장치 추가 설치 시 적용]
① 신규설치 승강기
 a. 안전회로에 연결: 새로운 안전기준을 제정하여 인증(부품인증·승강기인증)
 b. 제어회로에 연결: 승강기 인증 기술도서에 추가 기능에 대한 내용이 포함되어야 함
② 사용중인 승강기: 공단의 안전성 평가를 받아야 함(안전회로 또는 제어회로 변경 시)
③ 공통사항: 추가기능에 대한 유지관리 매뉴얼 제공 필수</t>
    <phoneticPr fontId="1" type="noConversion"/>
  </si>
  <si>
    <t>① 정격속도 1.5 m/s 이상에서 강제감속장치를 추가로 설치하고 공장에서 데이터 설정하여 출고하는데 현장에서 설정하는 경우 미입력된 사례 발생
② 데이터가 미 설정된 상태에서 정상 운행이 가능하여 정격속도로 최상층 또는 최하층에 충돌하는 사고 발생
 a. 신규제품: 공장에서 입력하여 출고하고 현장에서 데이터 수정이 불가하도록 조치
 b. 기존제품: 제조사 현장 확인</t>
    <phoneticPr fontId="1" type="noConversion"/>
  </si>
  <si>
    <t>① 보안업체 등의 관련 장치는 설치 가능하며, 해당 승강기 제조업체의 검증을 통해 등록을 제어하는 것이 바람직함
  - 무선통신을 활용하지 않는 경우 보안을 위해 설치하는 층 등록 제한 장치는 안전성 평가 대상 아님
② 소방구조용 엘리베이터의 소방운전 및 피난용 엘리베이터의 피난운전 시 관련 장치가 층 등록을 제한하지 않아야 함
③ 장애인용 엘리베이터의 경우 층 등록을 제한하지 않는 것이 바람직하며 주무부처의 개별 법령에 따른 유권해석에 따라 적용</t>
    <phoneticPr fontId="1" type="noConversion"/>
  </si>
  <si>
    <t>① 과부하감지장치 작동 시 자동 동력 작동식 문은 완전히 개방되어야 함
  - 과부하감지장치 스위치 작동 중에만 문이 반전되는 경우 부적합 판정</t>
    <phoneticPr fontId="1" type="noConversion"/>
  </si>
  <si>
    <t>① 기계실 제어반 내 점검운전의 설치 불가하며 전기적 비상운전 제어 설치는 가능함
② 점검운전과 전기적 비상운전을 동시에 전환한 경우
 a. 점검운전이 되는 경우: 적합 판정
 b. 엘리베이터가 움직이지 않는 경우: 적합 판정
 c. 전기적 비상운전이 되는 경우: 부적합 판정</t>
    <phoneticPr fontId="1" type="noConversion"/>
  </si>
  <si>
    <t>[피트 리셋 장치의 작동]
① 피트 리셋 장치는 피트로 출입할 수 있는 문과 
가까운 곳에 위치하여야 함
② 피트 출입문 가까이 설치된 파킹 스위치에서만 자동운행 복귀 기능이 허용되며 다른 층에는 허용 불가
③ 추가로 다른 층에 파킹스위치를 복수로 설치는 가능하며, 이 경우 파킹스위치 작동 위치에서 파킹 및 해제되어야 함
★ 다른 층의 파킹스위치에서는 자동운행 복귀 허용하지 않음
④ '21. 1. 1 이후 설치검사 시 피트 진입 층 외 기타 층에서 전기적 재-설정이 가능한 경우 보완 판정</t>
    <phoneticPr fontId="1" type="noConversion"/>
  </si>
  <si>
    <t>[자동운행 중 바이패스 작동]
① 엘리베이터가 자동 상태에서 바이패스 작동 위치로 전환된 경우 엘리베이터의 정상 작동은 가능하지 않아야 함
② 다만, 아래 사항을 모두 만족하는 경우 인정
 a. 자동 운행 중 바이패스 작동 위치 전환 시 근접 층으로 이동 후 운행 정지
 b. 자동 상태이나 정지되어 있고 바이패스 작동 위치 전환 시 즉시 운행 정지
★ 자동모드에서는 바이패스 스위치 전환 시 도어단락 되지 않아야 함
③ 바이패스 기능은 점검운전(전기적 비상운전) 스위치 및 바이패스 작동 모드가 모두 전환된 상태에서만 작동되어야 함</t>
    <phoneticPr fontId="1" type="noConversion"/>
  </si>
  <si>
    <t xml:space="preserve"> [비상문의 바이패스]
① 승강로(피트 포함)에 설치되는 비상문 또는 점검문, 출입문 등은 바이패스를 적용할 수 없음
★ 해당 문의 문 닫힘을 확인하는 접점은 승강장 문의 접점 회로에 연동되지 않아야 함
② 승강장문과 동일한 구조*로 설치되는 비상문은 유지관리를 위해 바이패스 할 경우가 발생 되므로 그 비상문 잠금장치의 접점에 한정하여 바이패스 적용 가능
 * 카문의 방향으로 설치되고 카문과 연동되어 열릴 수 있는 승강장 문과 동일한 구조의 비상문
③ 현재 승강장문과 동일한 구조가 아닌 비상문 또는 점검문, 출입문 등의 문 잠금장치가 승강장문의 접점에 연동되어 그 문이 바이패스 되는 경우 해당 승강기 제조사는 안전회로를 개선하여 변경인증을 받아야 함
④ 검사판정: 승강장문과 동일한 구조로 설치되는 비상문 잠금장치의 접점에 한정하여 바이패스 적용
 a. '24.7.1 이후 설치(신규)검사: 보완
 b. '24.7.1 이후 수시(제어반 교체)검사: 보완
 c. '25.1.1 이후 안전검사: 조건부합격
⑤ 기 설치된 현장: 주의표시 부착
 a. 부착기한: '24.7.1. ~ '24.8.1
 (바이패스 회로 보완 완료 후 제거 가능)
 b. 부착위치: 제어반 내 바이패스 장치, 비상문·점검문의 내/외부, 펼치는 사다리 등 전기안전장치 근처의 보기 쉬운 위치
 c. 픽토그램을 포함하는 직관적인 안내문구</t>
    <phoneticPr fontId="1" type="noConversion"/>
  </si>
  <si>
    <t>[유압식 엘리베이터 카 내 도어 자동닫힘 정지스위치 설치]
① 카 내 문을 정지시키는 정지장치 또는 도어스위치를 노출형으로 설치 불가
② 카 내 노출형 정지스위치 설치 시 아래의 사항을 모두 만족하여야 함
 a. 도어 동력을 차단하는 방식이 아닌 도어 자동닫힘 신호*를 차단하는 방식
  * 도어가 열린 뒤 일정시간 이후 도어 자동 닫힘 신호
 b. 크리핑에 대한 보호조치가 원활하게 작동된 경우
★ 전기적 크리핑 방지 시스템이 적용된 경우 설정시간(15분 이내)이 되면 자동으로 도어를 닫고 최하층으로 운행하여야 함
c. 카 내 스위치 근처에 ‘문을 닫으시오’ 표시</t>
    <phoneticPr fontId="1" type="noConversion"/>
  </si>
  <si>
    <t xml:space="preserve"> [기계실 정지장치]
 ① 구동기 주변 1m 이내에서 정지 장치를 누를 수 있도록 제공되는 경우 적합
★ 정지 장치를 추가로 설치하는 경우 영구적으로 고정
② 리모컨 사용으로 영구적으로 고정이 불가능한 경우 작업자가 정지 장치의 위치를 인지할 수 있도록 홀더 또는 자석을 사용
★ 단, 상기 형식을 포함하여 인증을 받아야 하며, 기존 제어반에 리모컨을 추가로 
설치하는 것은 운전 및 정지 장치를 포함하므로 변경 인증 대상임</t>
    <phoneticPr fontId="1" type="noConversion"/>
  </si>
  <si>
    <t>[승강로 내 구동기의 정지장치]
① 승강로 내부 구동기에서 카 지붕에 설치된 정지장치 또는 주개폐기가 1m 이내에 직접 접근이 불가한 경우 다른 정지장치가 있어야 함
② 엘리베이터 구동기에서 1m 이내에 견고하게 고정되는 경우에 한정하여 자석식으로 설치 가능</t>
    <phoneticPr fontId="1" type="noConversion"/>
  </si>
  <si>
    <t>[상부 파이널 리미트 스위치가 작동되기 전 균형추가 완충기에 먼저 간섭되는 경우 검사판정]
 “파이널 리미트 스위치는 카(또는 균형추)가 완충기 또는 램이 완충장치에 충돌되기 전에 작동되어야 한다.”의 규정에 따라 조건부합격 판정</t>
    <phoneticPr fontId="1" type="noConversion"/>
  </si>
  <si>
    <t xml:space="preserve"> [유압식 완충기의 파이널 리미트 스위치 작동방법]
종전의 승강기검사기준을 적용하여 검사를 받고 사용중이거나 건축허가가 진행 중인 승강기에 대하여는 종전의 승강기검사기준을 적용할 수 있다(이하생략)라고 규정하고 있으므로 현행 기준에 만족하지 못 할 경우 종전 검사기준 적용</t>
    <phoneticPr fontId="1" type="noConversion"/>
  </si>
  <si>
    <t>[시설물 내 비상통화장치 설치 위치]
① 관리 인력이 상주하는 장소가 2개소: 모두 설치
② 관리주체가 상주하는 장소가 1개임을 소명 시 1개소로 인정
★ 소명방법
 a. 스마트워크 특이 사항에 소명 내용 입력 후 관리주체 확인 서명 저장
 b. 별도의 양식으로 소명을 받아 스마트워크 비상통화장치 항목에 사진 촬영 후 저장
③ 건축물에 관리 인력이 상주하는 장소가 없는 경우라도 최소 1개의 통화 장치를 설치하여야 함</t>
    <phoneticPr fontId="1" type="noConversion"/>
  </si>
  <si>
    <t xml:space="preserve"> [비상통화장치 호출방식 일원화]
① 장난콜 방지기능(2회누름, 지속누름) 적용 불가
② 기 설치된 비상통화장치 중 장난콜 방지기능 제거가 불가한 비상통화장치의 경우 카 내 비상호출버튼 근처에 “비상 통화 연결 방법 스티커” 부착 의무화</t>
    <phoneticPr fontId="1" type="noConversion"/>
  </si>
  <si>
    <t xml:space="preserve"> [소방구조용 엘리베이터 승강로 내 비상통화장치 물에 대한 보호]
승강로 내(카 지붕 위, 피트 등)에 설치된 비상통화장치가 승강장문을 포함한 승강로 벽으로부터 1m 이내 또는 피트 바닥 위로 1m 초과한 위치에 설치된 경우: 떨어지는 물과 튀는 물로부터 보호되거나 IP X3 이상의 등급을 보호</t>
    <phoneticPr fontId="1" type="noConversion"/>
  </si>
  <si>
    <t xml:space="preserve"> [승강로에 설치되는 비상통화장치]
① “표시 등”의 적용은 카 내로 한정
② 점검운전 조작반 내 비상통화장치 버튼의 경우 별도 설치 가능
③ 인터폰 형태(내선 번호가 분명히 표시되어 식별 가능 하여야 함)도 적합</t>
    <phoneticPr fontId="1" type="noConversion"/>
  </si>
  <si>
    <t xml:space="preserve"> [측면 조작반의 비상통화장치]
① 램프 색상(노란색, 녹색) 측면 조작반에도 적용</t>
    <phoneticPr fontId="1" type="noConversion"/>
  </si>
  <si>
    <t>[램프 색상 적용]
① 통화장치가 외부로 연결되는 동안 비상통화 버튼은 노란색이 점등되어야 하며, 수신인과 연결된 경우 녹색 점등
② 상담원이 받기 전 상담센터로 정상적으로 연결된 경우(콜센터 연결되어 ARS 안내) 비상통화가 연결된 것으로 인정</t>
    <phoneticPr fontId="1" type="noConversion"/>
  </si>
  <si>
    <t>[필터링 및 전기 인터페이스]
① 과도한 비상통화를 거를 수 있는 수단은 필수로 설치하여야 하며, 기능의 정지 및 재작동 할 수 있는 수단을 제공하도록 되어 있으므로 운영상 필요에 의해 정지/작동 설정 가능함
② 전기 인터페이스가 안전회로 차단 시 자동호출기능을 의미하지 않으므로 검사 시 확인 불필요</t>
    <phoneticPr fontId="1" type="noConversion"/>
  </si>
  <si>
    <t xml:space="preserve"> [보이스봇]
① 보이스봇의 적용 조건
 a. 특정 예약어*를 사용한 보이스봇의 일부 활용은 허용
  * 위급상황에서 사용하지 않을 언어로 점검 상황에서만 사용하도록 설정어 등록
 b. 보이스봇은 비상통화장치 점검에 한정하여 비상통화를 종료할 수 있음</t>
    <phoneticPr fontId="1" type="noConversion"/>
  </si>
  <si>
    <t>① 승강기 전면 활동공간의 중심선과 승강기 출입문의 중심선이 일치하지 않아도 적합
② 승강기 출입문에 진입하는 폭 구간은 반드시 포함하되 승강기 출입문의 진입 구간에 소요되는 면적은 미산입
③ 건물 출입구 개폐 반경과 승강기 전면 활동공간이 중복되는 경우 출입문을 닫
았을 때 활동 공간 확보를 기준으로 함따라서 건물 출입구 개폐반경과 승강기 전면 활동공간이 중복되어도 적합
④ “장애인용 엘리베이터의 추가요건의 검사판정” 유권해석에 따라 승강기 전면 활동공간에 시공오차 2 %를 적용</t>
    <phoneticPr fontId="1" type="noConversion"/>
  </si>
  <si>
    <t>[소방구조/장애인용 엘리베이터 카의 깊이]
소방구조/장애인용 설치 시 카의 깊이는 소방구조용의 깊이 1,400mm에 적합하게 설치하여야 함</t>
    <phoneticPr fontId="1" type="noConversion"/>
  </si>
  <si>
    <t xml:space="preserve"> [리모델링하는 장애인용 엘리베이터의 카 크기]
① 신축하는 건물이 아닌 경우:
폭 1.1 m 이상, 깊이 1.35 m 이상
② 신축하는 건물인 경우:
폭 1.6 m 이상, 깊이 1.35 m 이상
★ 신축한 건물이란, 기존 건물과 독립되어 새로 증축된 건물과 기존 건물을 완전히 철거하고 그 규모 범위 내에서 새로 개축 및 재축한 건물, 그리고 신축건물에 설치되는 대상 승강기를 의미함. 따라서 층수 변경만으로 이루어지는 증축과 단순 용도변경은 해당하지 않음</t>
    <phoneticPr fontId="1" type="noConversion"/>
  </si>
  <si>
    <t>[측면 조작반 및 손잡이 설치]
① 호출버튼·조작반·통화장치 등 승강기의 안팎에 설치되는 모든 스위치의 높이는 바닥면으로부터 0.8m 이상 1.2m 이하의 위치에 설치되어야 함
② 다만, 스위치의 수가 많아 1.2m 이내에 설치되는 것이 곤란한 경우 1.4m 이하까지 완화될 수 있음</t>
    <phoneticPr fontId="1" type="noConversion"/>
  </si>
  <si>
    <t xml:space="preserve"> [카 벽에 유리가 사용된 경우 손잡이 설치]
① 장애인용: 바닥에서 0.8m 이상 0.9m 이하 설치
② 장애인용 외: 0.9m와 1.1m 사이에 유리와 독립적으로 고정된 손잡이 설치</t>
    <phoneticPr fontId="1" type="noConversion"/>
  </si>
  <si>
    <t>① 바닥면적이 1.4m × 1.4m 이상인 경우: 우측 및 좌측 어느쪽이던 한 개 이상 조작반 설치 가능
② 바닥면적이 1.4 m × 1.4 m 미만인 경우: 진입방향 우측면에 설치하거나, 양측 모두에 조작반을 설치할 경우 적합</t>
    <phoneticPr fontId="1" type="noConversion"/>
  </si>
  <si>
    <t>① '09. 11. 23. 이전 건축허가: 휠체어 사용조작반 호출 동작 시 10초 대기(주 조작반 적용 제외)
② '09. 11. 24. 이후 건축허가: 카 내 버튼(휠체어 사용조작반 및 주 조작반)의 호출 동작 시 10초 대기</t>
    <phoneticPr fontId="1" type="noConversion"/>
  </si>
  <si>
    <t>건축허가일 '97.8.18. 이전 승강기 전면교체 시
① 승객용→장애인용: 점형블록 설치(강제적용)
② 장애인용→장애인용: 강제적용 제외(시정권고)</t>
    <phoneticPr fontId="1" type="noConversion"/>
  </si>
  <si>
    <t>[탈화 공간 및 BF 인증 현장]
① 실내 탈화 공간의 점형블록 설치 제외
★ 실내 탈화 공간: 경로당, 어린이집, 노인요양시설 등
② BF 인증서(예비인증 포함) 제출 시 점형블록 설치 제외
★ 예비인증서의 보완 내역에 승강기 점형블록을 설치하도록 하는 경우 설치되어야 함</t>
    <phoneticPr fontId="1" type="noConversion"/>
  </si>
  <si>
    <t xml:space="preserve"> [검사판정]
① 점형블록의 개수는 판정하지 않음
② 점형블록 돌기의 바닥 마감선(바닥의 수평면) 일치 여부는 판정하지 않음
③ 바닥재(질감)는 주무부처의 개별 법령에 따른 유권해석에 따라 적용</t>
    <phoneticPr fontId="1" type="noConversion"/>
  </si>
  <si>
    <t>[측정 위치]
① 출입구 내부문과 외부문 틈새(하단)
② 승강기 내부 바닥
③ 승강기 내부 조작장치 최하단</t>
    <phoneticPr fontId="1" type="noConversion"/>
  </si>
  <si>
    <t>[소방구조용과 승객용 기계실이 붙어 있는 경우 접근 경로]
① 기계실의 구조는 방화구획된 소방구조용을 통하여 승객용으로 접근하도록 설치하는 것을 권장
② 소방구조용과 일반용 엘리베이터가 방화구획된 경우 기계실 출입 순서는 규정하지 않음</t>
    <phoneticPr fontId="1" type="noConversion"/>
  </si>
  <si>
    <t>① 소방구조용 엘리베이터 방화구획
 a. 모든 승강장문 전면 로비
 b. 승강로
 c. 기계실
② 소방구조용+기타용도 승강로 및 기계실
 a. 소방구조용 엘리베이터와 다른 엘리베이터를 구분시키기 위한 중간 방화벽 설치
 b. 모든 엘리베이터(건축) 및 전기장치가 소방구조용 엘리베이터와 같은 방화조치 되는 경우 중간 방화벽의 설치 제외 가능</t>
    <phoneticPr fontId="1" type="noConversion"/>
  </si>
  <si>
    <t>[최대누수 수준의 정의]
① 완전히 압축된 카 완충기의 높이
② 피트 내부의 최대누수 수준은 0.5m 이하로 가정
 a. 완충기 눌림점 ≥ 0.5m 인 경우 최대누수 수준 0.5m로 적용
 b. 완충기 눌림점 〈 0.5 m 인 경우 최대누수 수준은 완충기 눌림점으로 적용
★ 완충기 눌림점 아래를 최대누수 수준으로 설정하고 펌프용량, 배수능력 등 계산된 값을 제출받아야 함
★ 완충기 눌림점: 피트바닥에서 완전히 압축된 완충기까지의 거리
③ 정지 장치는 피트 깊이에 따라 점검운전 조작반과 같이 설치될 수 있으므로 IP67 이상의 등급 확보를 위한 커버 등의 설치 불가</t>
    <phoneticPr fontId="1" type="noConversion"/>
  </si>
  <si>
    <t>④ 승강로에 설치되는 영구적인 고정 사다리는 승강장 출입구 문턱에서부터 0.75m 이내에 위치되고 꼭대기 끝부분 근처에 쉽게 닿을 수 있는 1개 이상의 손잡이가 있어야 함
⑤ 사다리 강도 및 재질
a. 1,500N의 힘에 견뎌야 하며, 알루미늄 또는 부식방지 조치가 된 철 재질이어야 함
⑥ 사다리 손잡이 및 발판
a. 손잡이는 봉 모양이어야 하고, 폭 35mm이하, 깊이 100mm 이하 이어야 함
b. 발판의 유효 폭은 280mm 이상, 발판의 간격은 250mm에서 300mm 사이의 간격으로 균등하게 배치되어야 함
c. 발판의 모양은 원형 또는 4면 이상의 다각형이어야 하며, 그 단면적의 폭은 80mm 이상이고 깊이는 25mm 이상 30mm 이하 이어야 함
d. 발판의 표면은 미끄러짐을 방지하는 특별한 조치가 있어야 함
⑦ 사다리 위치
a. 카 및 이동케이블의 주행에 지장이 없어야 함</t>
    <phoneticPr fontId="1" type="noConversion"/>
  </si>
  <si>
    <t>관련 기준</t>
    <phoneticPr fontId="1" type="noConversion"/>
  </si>
  <si>
    <t>승강기 번호</t>
    <phoneticPr fontId="1" type="noConversion"/>
  </si>
  <si>
    <t>피트 내 배수 설비</t>
    <phoneticPr fontId="1" type="noConversion"/>
  </si>
  <si>
    <t>6.1.2</t>
    <phoneticPr fontId="1" type="noConversion"/>
  </si>
  <si>
    <t>LCD 모니터</t>
    <phoneticPr fontId="1" type="noConversion"/>
  </si>
  <si>
    <t>6.1.2</t>
    <phoneticPr fontId="1" type="noConversion"/>
  </si>
  <si>
    <t>승강로 조명</t>
    <phoneticPr fontId="1" type="noConversion"/>
  </si>
  <si>
    <t>6.1.4.1, 6.1.5.1</t>
    <phoneticPr fontId="1" type="noConversion"/>
  </si>
  <si>
    <t>피트 내 정지스위치 및 조명 점멸 수단 위치</t>
    <phoneticPr fontId="1" type="noConversion"/>
  </si>
  <si>
    <t>6.1.5.1</t>
    <phoneticPr fontId="1" type="noConversion"/>
  </si>
  <si>
    <t>6.1.8.1</t>
    <phoneticPr fontId="1" type="noConversion"/>
  </si>
  <si>
    <t>기계대 지지방법</t>
    <phoneticPr fontId="1" type="noConversion"/>
  </si>
  <si>
    <t>6.1.8.1</t>
    <phoneticPr fontId="1" type="noConversion"/>
  </si>
  <si>
    <t>승강로 벽</t>
    <phoneticPr fontId="1" type="noConversion"/>
  </si>
  <si>
    <t>6.1.8.2</t>
    <phoneticPr fontId="1" type="noConversion"/>
  </si>
  <si>
    <t>승강로 벽 접합유리</t>
    <phoneticPr fontId="1" type="noConversion"/>
  </si>
  <si>
    <t>6.1.8.3</t>
    <phoneticPr fontId="1" type="noConversion"/>
  </si>
  <si>
    <t>피트 바닥 평탄화</t>
    <phoneticPr fontId="1" type="noConversion"/>
  </si>
  <si>
    <t>6.1.9.3</t>
    <phoneticPr fontId="1" type="noConversion"/>
  </si>
  <si>
    <t>비상문 접근 통로 조명</t>
    <phoneticPr fontId="1" type="noConversion"/>
  </si>
  <si>
    <t>6.2.2</t>
    <phoneticPr fontId="1" type="noConversion"/>
  </si>
  <si>
    <t>작업구역의 접근 통로</t>
    <phoneticPr fontId="1" type="noConversion"/>
  </si>
  <si>
    <t>6.2.3</t>
    <phoneticPr fontId="1" type="noConversion"/>
  </si>
  <si>
    <t>피트 출입 수단</t>
    <phoneticPr fontId="1" type="noConversion"/>
  </si>
  <si>
    <t>6.2.4</t>
    <phoneticPr fontId="1" type="noConversion"/>
  </si>
  <si>
    <t>트랩 도어 적용</t>
    <phoneticPr fontId="1" type="noConversion"/>
  </si>
  <si>
    <t>6.2.5</t>
    <phoneticPr fontId="1" type="noConversion"/>
  </si>
  <si>
    <t>계단 난간 설치</t>
    <phoneticPr fontId="1" type="noConversion"/>
  </si>
  <si>
    <t>6.2.5</t>
    <phoneticPr fontId="1" type="noConversion"/>
  </si>
  <si>
    <t>사다리 설치</t>
    <phoneticPr fontId="1" type="noConversion"/>
  </si>
  <si>
    <t>비상문</t>
    <phoneticPr fontId="1" type="noConversion"/>
  </si>
  <si>
    <t>6.3.1</t>
    <phoneticPr fontId="1" type="noConversion"/>
  </si>
  <si>
    <t>기계실 출입문 적용</t>
    <phoneticPr fontId="1" type="noConversion"/>
  </si>
  <si>
    <t>6.3.2</t>
    <phoneticPr fontId="1" type="noConversion"/>
  </si>
  <si>
    <t>승강로 내부 구동기 공간의 출입문, 점검문의 구분</t>
    <phoneticPr fontId="1" type="noConversion"/>
  </si>
  <si>
    <t>출입문 디지털 도어록</t>
    <phoneticPr fontId="1" type="noConversion"/>
  </si>
  <si>
    <t>6.3.3</t>
    <phoneticPr fontId="1" type="noConversion"/>
  </si>
  <si>
    <t>표시</t>
    <phoneticPr fontId="1" type="noConversion"/>
  </si>
  <si>
    <t>에어컨 물 배수</t>
    <phoneticPr fontId="1" type="noConversion"/>
  </si>
  <si>
    <t>6.5.1.5</t>
    <phoneticPr fontId="1" type="noConversion"/>
  </si>
  <si>
    <t>피트 내부 벽 돌출부 또는 수평 빔</t>
    <phoneticPr fontId="1" type="noConversion"/>
  </si>
  <si>
    <t>6.5.2.2.2</t>
    <phoneticPr fontId="1" type="noConversion"/>
  </si>
  <si>
    <t>가상 층에서의 문 열림</t>
    <phoneticPr fontId="1" type="noConversion"/>
  </si>
  <si>
    <t>6.5.3.1</t>
    <phoneticPr fontId="1" type="noConversion"/>
  </si>
  <si>
    <t>카 출입문과 마주하는 승강로 벽의 재사용</t>
    <phoneticPr fontId="1" type="noConversion"/>
  </si>
  <si>
    <t>승강장 문의 문턱 아랫부분</t>
    <phoneticPr fontId="1" type="noConversion"/>
  </si>
  <si>
    <t>6.5.3.2</t>
    <phoneticPr fontId="1" type="noConversion"/>
  </si>
  <si>
    <t>승강로 하부에 위치한 공간의 보호</t>
    <phoneticPr fontId="1" type="noConversion"/>
  </si>
  <si>
    <t>6.5.4</t>
    <phoneticPr fontId="1" type="noConversion"/>
  </si>
  <si>
    <t>칸막이</t>
    <phoneticPr fontId="1" type="noConversion"/>
  </si>
  <si>
    <t>6.5.5</t>
    <phoneticPr fontId="1" type="noConversion"/>
  </si>
  <si>
    <t>유압식 엘리베이터 램,헤드 작업자 공간</t>
    <phoneticPr fontId="1" type="noConversion"/>
  </si>
  <si>
    <t>6.5.6.4.1</t>
    <phoneticPr fontId="1" type="noConversion"/>
  </si>
  <si>
    <t>6.5.7.2</t>
    <phoneticPr fontId="1" type="noConversion"/>
  </si>
  <si>
    <t>피트의 피난공간 및 틈새</t>
    <phoneticPr fontId="1" type="noConversion"/>
  </si>
  <si>
    <t>6.5.8.2</t>
    <phoneticPr fontId="1" type="noConversion"/>
  </si>
  <si>
    <t>작업구역 보호</t>
    <phoneticPr fontId="1" type="noConversion"/>
  </si>
  <si>
    <t>6.6.1</t>
    <phoneticPr fontId="1" type="noConversion"/>
  </si>
  <si>
    <t>기계실 내부 이동통로</t>
    <phoneticPr fontId="1" type="noConversion"/>
  </si>
  <si>
    <t>6.6.3.2.2</t>
    <phoneticPr fontId="1" type="noConversion"/>
  </si>
  <si>
    <t>기계실 내부 단차에 대한 보호조치 관련</t>
    <phoneticPr fontId="1" type="noConversion"/>
  </si>
  <si>
    <t>6.6.3.2.4</t>
    <phoneticPr fontId="1" type="noConversion"/>
  </si>
  <si>
    <t>카 지붕 작업공간</t>
    <phoneticPr fontId="1" type="noConversion"/>
  </si>
  <si>
    <t>6.6.4.3.1</t>
    <phoneticPr fontId="1" type="noConversion"/>
  </si>
  <si>
    <t>승강로 내 비상 구출</t>
    <phoneticPr fontId="1" type="noConversion"/>
  </si>
  <si>
    <t>피트 내 작업공간</t>
    <phoneticPr fontId="1" type="noConversion"/>
  </si>
  <si>
    <t>플랫폼의 보관</t>
    <phoneticPr fontId="1" type="noConversion"/>
  </si>
  <si>
    <t>6.6.4.4.1</t>
    <phoneticPr fontId="1" type="noConversion"/>
  </si>
  <si>
    <t>6.6.4.5</t>
    <phoneticPr fontId="1" type="noConversion"/>
  </si>
  <si>
    <t>승강로 내부 구동기 제어반 설치 위치</t>
    <phoneticPr fontId="1" type="noConversion"/>
  </si>
  <si>
    <t>6.6.5.1.1</t>
    <phoneticPr fontId="1" type="noConversion"/>
  </si>
  <si>
    <t>비상운전 및 작동시험을 위한 장치</t>
    <phoneticPr fontId="1" type="noConversion"/>
  </si>
  <si>
    <t>6.6.6.1</t>
    <phoneticPr fontId="1" type="noConversion"/>
  </si>
  <si>
    <t>유압식 엘리베이터의 비상작동시험 패널 및 전기적 비상운전 적용</t>
    <phoneticPr fontId="1" type="noConversion"/>
  </si>
  <si>
    <t>승강장 제어반 조명장치</t>
    <phoneticPr fontId="1" type="noConversion"/>
  </si>
  <si>
    <t>6.6.6.3</t>
    <phoneticPr fontId="1" type="noConversion"/>
  </si>
  <si>
    <t>작업구역 조도</t>
    <phoneticPr fontId="1" type="noConversion"/>
  </si>
  <si>
    <t>승강장문 및 카문의 높이</t>
    <phoneticPr fontId="1" type="noConversion"/>
  </si>
  <si>
    <t>7.2.1</t>
    <phoneticPr fontId="1" type="noConversion"/>
  </si>
  <si>
    <t>승강장문 유효 폭 제한</t>
    <phoneticPr fontId="1" type="noConversion"/>
  </si>
  <si>
    <t>7.2.2</t>
    <phoneticPr fontId="1" type="noConversion"/>
  </si>
  <si>
    <t>문턱</t>
    <phoneticPr fontId="1" type="noConversion"/>
  </si>
  <si>
    <t>7.3.1</t>
    <phoneticPr fontId="1" type="noConversion"/>
  </si>
  <si>
    <t>승강장문 비상가이드</t>
    <phoneticPr fontId="1" type="noConversion"/>
  </si>
  <si>
    <t>7.5.3.2</t>
    <phoneticPr fontId="1" type="noConversion"/>
  </si>
  <si>
    <t>수평 개폐식 문</t>
    <phoneticPr fontId="1" type="noConversion"/>
  </si>
  <si>
    <t>7.6.2.2</t>
    <phoneticPr fontId="1" type="noConversion"/>
  </si>
  <si>
    <t>수직 개폐식 문</t>
    <phoneticPr fontId="1" type="noConversion"/>
  </si>
  <si>
    <t>7.6.2.3</t>
    <phoneticPr fontId="1" type="noConversion"/>
  </si>
  <si>
    <t>승강장 조명</t>
    <phoneticPr fontId="1" type="noConversion"/>
  </si>
  <si>
    <t>7.7.1</t>
    <phoneticPr fontId="1" type="noConversion"/>
  </si>
  <si>
    <t>승강장문 잠금장치 보호수단</t>
    <phoneticPr fontId="1" type="noConversion"/>
  </si>
  <si>
    <t>7.9.1</t>
    <phoneticPr fontId="1" type="noConversion"/>
  </si>
  <si>
    <t>피트에서 승강장문 잠금 해제</t>
    <phoneticPr fontId="1" type="noConversion"/>
  </si>
  <si>
    <t>7.9.3.5</t>
    <phoneticPr fontId="1" type="noConversion"/>
  </si>
  <si>
    <t>카문의 개방</t>
    <phoneticPr fontId="1" type="noConversion"/>
  </si>
  <si>
    <t>7.15.3</t>
    <phoneticPr fontId="1" type="noConversion"/>
  </si>
  <si>
    <t>카문의 개방</t>
    <phoneticPr fontId="1" type="noConversion"/>
  </si>
  <si>
    <t>카의 유효면적, 정격하중 및 정원</t>
    <phoneticPr fontId="1" type="noConversion"/>
  </si>
  <si>
    <t>카 면적</t>
    <phoneticPr fontId="1" type="noConversion"/>
  </si>
  <si>
    <t>8.2.1.2</t>
    <phoneticPr fontId="1" type="noConversion"/>
  </si>
  <si>
    <t>카 벽의 움푹 들어간 공간 또는 확장된 공간의 정원 및 하중 적용</t>
    <phoneticPr fontId="1" type="noConversion"/>
  </si>
  <si>
    <t>8.2.1.3</t>
    <phoneticPr fontId="1" type="noConversion"/>
  </si>
  <si>
    <t>카 내부 표기</t>
    <phoneticPr fontId="1" type="noConversion"/>
  </si>
  <si>
    <t>8.2.3.2</t>
    <phoneticPr fontId="1" type="noConversion"/>
  </si>
  <si>
    <t>카 벽 유리 사용</t>
    <phoneticPr fontId="1" type="noConversion"/>
  </si>
  <si>
    <t>8.3.2.3</t>
    <phoneticPr fontId="1" type="noConversion"/>
  </si>
  <si>
    <t>에이프런</t>
    <phoneticPr fontId="1" type="noConversion"/>
  </si>
  <si>
    <t>8.5.1</t>
    <phoneticPr fontId="1" type="noConversion"/>
  </si>
  <si>
    <t>비상구출문</t>
    <phoneticPr fontId="1" type="noConversion"/>
  </si>
  <si>
    <t>카 지붕 미끄러짐 방지 수단</t>
    <phoneticPr fontId="1" type="noConversion"/>
  </si>
  <si>
    <t>8.7.1</t>
    <phoneticPr fontId="1" type="noConversion"/>
  </si>
  <si>
    <t>카 지붕 전면부 발 보호판</t>
    <phoneticPr fontId="1" type="noConversion"/>
  </si>
  <si>
    <t>8.7.2</t>
    <phoneticPr fontId="1" type="noConversion"/>
  </si>
  <si>
    <t>보호난간</t>
    <phoneticPr fontId="1" type="noConversion"/>
  </si>
  <si>
    <t>8.7.4</t>
    <phoneticPr fontId="1" type="noConversion"/>
  </si>
  <si>
    <t>카 지붕의 설비</t>
    <phoneticPr fontId="1" type="noConversion"/>
  </si>
  <si>
    <t>비상등</t>
    <phoneticPr fontId="1" type="noConversion"/>
  </si>
  <si>
    <t>8.10.4</t>
    <phoneticPr fontId="1" type="noConversion"/>
  </si>
  <si>
    <t>로프의 단말처리</t>
    <phoneticPr fontId="1" type="noConversion"/>
  </si>
  <si>
    <t>과도한 미끄러짐의 정의</t>
    <phoneticPr fontId="1" type="noConversion"/>
  </si>
  <si>
    <t>9.3.1</t>
    <phoneticPr fontId="1" type="noConversion"/>
  </si>
  <si>
    <t>보상수단</t>
    <phoneticPr fontId="1" type="noConversion"/>
  </si>
  <si>
    <t>권상도르래의 보호수단</t>
    <phoneticPr fontId="1" type="noConversion"/>
  </si>
  <si>
    <t>회전 부품이 보이는 구조</t>
    <phoneticPr fontId="1" type="noConversion"/>
  </si>
  <si>
    <t>9.7.2</t>
    <phoneticPr fontId="1" type="noConversion"/>
  </si>
  <si>
    <t>추락방지 안전장치</t>
    <phoneticPr fontId="1" type="noConversion"/>
  </si>
  <si>
    <t>10.2.1</t>
    <phoneticPr fontId="1" type="noConversion"/>
  </si>
  <si>
    <t>감속도</t>
    <phoneticPr fontId="1" type="noConversion"/>
  </si>
  <si>
    <t>10.2.1.3</t>
    <phoneticPr fontId="1" type="noConversion"/>
  </si>
  <si>
    <t>과속조절기 로프</t>
    <phoneticPr fontId="1" type="noConversion"/>
  </si>
  <si>
    <t>10.2.2.1.3</t>
    <phoneticPr fontId="1" type="noConversion"/>
  </si>
  <si>
    <t>안전로프에 의한 작동</t>
    <phoneticPr fontId="1" type="noConversion"/>
  </si>
  <si>
    <t>10.2.2.3</t>
    <phoneticPr fontId="1" type="noConversion"/>
  </si>
  <si>
    <t>상승과속방지장치, 개문출발방지장치</t>
    <phoneticPr fontId="1" type="noConversion"/>
  </si>
  <si>
    <t>10.6, 10.7</t>
    <phoneticPr fontId="1" type="noConversion"/>
  </si>
  <si>
    <t>레일 브라켓 재사용</t>
    <phoneticPr fontId="1" type="noConversion"/>
  </si>
  <si>
    <t>11.2.1</t>
    <phoneticPr fontId="1" type="noConversion"/>
  </si>
  <si>
    <t>슬라이딩 클립</t>
    <phoneticPr fontId="1" type="noConversion"/>
  </si>
  <si>
    <t>11.2.3.5</t>
    <phoneticPr fontId="1" type="noConversion"/>
  </si>
  <si>
    <t>에너지분산형 완충기</t>
    <phoneticPr fontId="1" type="noConversion"/>
  </si>
  <si>
    <t>12.2.2.2</t>
    <phoneticPr fontId="1" type="noConversion"/>
  </si>
  <si>
    <t>완충기의 정상적인 복귀 확인 장치</t>
    <phoneticPr fontId="1" type="noConversion"/>
  </si>
  <si>
    <t>12.2.2.4</t>
    <phoneticPr fontId="1" type="noConversion"/>
  </si>
  <si>
    <t>권상기 고정</t>
    <phoneticPr fontId="1" type="noConversion"/>
  </si>
  <si>
    <t>오버밸런스율</t>
    <phoneticPr fontId="1" type="noConversion"/>
  </si>
  <si>
    <t>13.2.1.3</t>
    <phoneticPr fontId="1" type="noConversion"/>
  </si>
  <si>
    <t>전자-기계 브레이크</t>
    <phoneticPr fontId="1" type="noConversion"/>
  </si>
  <si>
    <t>13.2.2.2</t>
    <phoneticPr fontId="1" type="noConversion"/>
  </si>
  <si>
    <t>비상운전</t>
    <phoneticPr fontId="1" type="noConversion"/>
  </si>
  <si>
    <t>13.2.3</t>
    <phoneticPr fontId="1" type="noConversion"/>
  </si>
  <si>
    <t>오버밸런스율</t>
    <phoneticPr fontId="1" type="noConversion"/>
  </si>
  <si>
    <t>13.2.3.1</t>
    <phoneticPr fontId="1" type="noConversion"/>
  </si>
  <si>
    <t>카 잠금 해제구간 확인 장치 적용</t>
    <phoneticPr fontId="1" type="noConversion"/>
  </si>
  <si>
    <t>13.2.3.2</t>
    <phoneticPr fontId="1" type="noConversion"/>
  </si>
  <si>
    <t>자동구출운전수단</t>
    <phoneticPr fontId="1" type="noConversion"/>
  </si>
  <si>
    <t>13.2.3.6</t>
    <phoneticPr fontId="1" type="noConversion"/>
  </si>
  <si>
    <t>속도</t>
    <phoneticPr fontId="1" type="noConversion"/>
  </si>
  <si>
    <t>13.2.4</t>
    <phoneticPr fontId="1" type="noConversion"/>
  </si>
  <si>
    <t>잭의 실린더 및 램의 압력</t>
    <phoneticPr fontId="1" type="noConversion"/>
  </si>
  <si>
    <t>13.3.2.1.1</t>
    <phoneticPr fontId="1" type="noConversion"/>
  </si>
  <si>
    <t>릴리프 밸브</t>
    <phoneticPr fontId="1" type="noConversion"/>
  </si>
  <si>
    <t>13.3.5.3</t>
    <phoneticPr fontId="1" type="noConversion"/>
  </si>
  <si>
    <t>전기설비 및 전기기기</t>
    <phoneticPr fontId="1" type="noConversion"/>
  </si>
  <si>
    <t>14.1.1.5</t>
    <phoneticPr fontId="1" type="noConversion"/>
  </si>
  <si>
    <t>주 개폐기</t>
    <phoneticPr fontId="1" type="noConversion"/>
  </si>
  <si>
    <t>14.5.1</t>
    <phoneticPr fontId="1" type="noConversion"/>
  </si>
  <si>
    <t>패널의 덮개</t>
    <phoneticPr fontId="1" type="noConversion"/>
  </si>
  <si>
    <t>14.5.2</t>
    <phoneticPr fontId="1" type="noConversion"/>
  </si>
  <si>
    <t>로봇 탑승용 엘리베이터 무선 통신장치</t>
    <phoneticPr fontId="1" type="noConversion"/>
  </si>
  <si>
    <t>강제감속장치 미설정으로 인한 돌상 방지</t>
    <phoneticPr fontId="1" type="noConversion"/>
  </si>
  <si>
    <t>15.2.4, 15.2.5, 15.2.6</t>
    <phoneticPr fontId="1" type="noConversion"/>
  </si>
  <si>
    <t>보안업체 등의 층 등록 제한 장치</t>
    <phoneticPr fontId="1" type="noConversion"/>
  </si>
  <si>
    <t>16.1.1.1</t>
    <phoneticPr fontId="1" type="noConversion"/>
  </si>
  <si>
    <t>과부하감지장치</t>
    <phoneticPr fontId="1" type="noConversion"/>
  </si>
  <si>
    <t>16.1.2</t>
    <phoneticPr fontId="1" type="noConversion"/>
  </si>
  <si>
    <t>점검운전 제어</t>
    <phoneticPr fontId="1" type="noConversion"/>
  </si>
  <si>
    <t>16.1.5</t>
    <phoneticPr fontId="1" type="noConversion"/>
  </si>
  <si>
    <t>전기적 재-설정</t>
    <phoneticPr fontId="1" type="noConversion"/>
  </si>
  <si>
    <t>16.1.5.2.2</t>
    <phoneticPr fontId="1" type="noConversion"/>
  </si>
  <si>
    <t>바이패스</t>
    <phoneticPr fontId="1" type="noConversion"/>
  </si>
  <si>
    <t>16.1.8</t>
    <phoneticPr fontId="1" type="noConversion"/>
  </si>
  <si>
    <t>정지장치</t>
    <phoneticPr fontId="1" type="noConversion"/>
  </si>
  <si>
    <t>16.1.11</t>
    <phoneticPr fontId="1" type="noConversion"/>
  </si>
  <si>
    <t>파이널 리미트 스위치</t>
    <phoneticPr fontId="1" type="noConversion"/>
  </si>
  <si>
    <t>비상통화장치</t>
    <phoneticPr fontId="1" type="noConversion"/>
  </si>
  <si>
    <t>전면 활동공간</t>
    <phoneticPr fontId="1" type="noConversion"/>
  </si>
  <si>
    <t>17.1.2.1</t>
    <phoneticPr fontId="1" type="noConversion"/>
  </si>
  <si>
    <t>카 내부 유효바닥면적</t>
    <phoneticPr fontId="1" type="noConversion"/>
  </si>
  <si>
    <t>17.1.3.1</t>
    <phoneticPr fontId="1" type="noConversion"/>
  </si>
  <si>
    <t>이용자 조작설비</t>
    <phoneticPr fontId="1" type="noConversion"/>
  </si>
  <si>
    <t>17.1.4.1</t>
    <phoneticPr fontId="1" type="noConversion"/>
  </si>
  <si>
    <t>휠체어사용자용 조작반</t>
    <phoneticPr fontId="1" type="noConversion"/>
  </si>
  <si>
    <t>17.1.4.2</t>
    <phoneticPr fontId="1" type="noConversion"/>
  </si>
  <si>
    <t>문 열림 대기</t>
    <phoneticPr fontId="1" type="noConversion"/>
  </si>
  <si>
    <t>17.1.5.4</t>
    <phoneticPr fontId="1" type="noConversion"/>
  </si>
  <si>
    <t>점형블록</t>
    <phoneticPr fontId="1" type="noConversion"/>
  </si>
  <si>
    <t>17.1.5.5</t>
    <phoneticPr fontId="1" type="noConversion"/>
  </si>
  <si>
    <t>조도</t>
    <phoneticPr fontId="1" type="noConversion"/>
  </si>
  <si>
    <t>17.1.5.7</t>
    <phoneticPr fontId="1" type="noConversion"/>
  </si>
  <si>
    <t>기계실 방화구획</t>
    <phoneticPr fontId="1" type="noConversion"/>
  </si>
  <si>
    <t>17.2.2.1</t>
    <phoneticPr fontId="1" type="noConversion"/>
  </si>
  <si>
    <t>기계실 방화구획</t>
    <phoneticPr fontId="1" type="noConversion"/>
  </si>
  <si>
    <t>17.2.2.1</t>
    <phoneticPr fontId="1" type="noConversion"/>
  </si>
  <si>
    <t>최대 누수 수준</t>
    <phoneticPr fontId="1" type="noConversion"/>
  </si>
  <si>
    <t>17.2.4.2</t>
    <phoneticPr fontId="1" type="noConversion"/>
  </si>
  <si>
    <t>카 외부에서 구출</t>
    <phoneticPr fontId="1" type="noConversion"/>
  </si>
  <si>
    <t>17.2.5.3</t>
    <phoneticPr fontId="1" type="noConversion"/>
  </si>
  <si>
    <t>소방관 자체 탈출</t>
    <phoneticPr fontId="1" type="noConversion"/>
  </si>
  <si>
    <t>17.2.5.7</t>
    <phoneticPr fontId="1" type="noConversion"/>
  </si>
  <si>
    <t>6 m 휴대용 사다리가 설치된다면 승강로 벽에 설치되는 고정사다리의 설치는 제외할 수 있음. 다만 휴대용 사다리의 지지대는 카 상부에 있어야 함</t>
    <phoneticPr fontId="1" type="noConversion"/>
  </si>
  <si>
    <t>소방운전 스위치</t>
    <phoneticPr fontId="1" type="noConversion"/>
  </si>
  <si>
    <t>17.2.8.2</t>
    <phoneticPr fontId="1" type="noConversion"/>
  </si>
  <si>
    <t>[중앙감시반 호출장치 기준 적용]
중앙감시실(방재실)에 설치된 호출장치에 대하여 작동상태 등의 검사를 실시하고 별도의 중앙감시반이 없는 경우 제외 가능</t>
    <phoneticPr fontId="1" type="noConversion"/>
  </si>
  <si>
    <t>[교체 설치하는 소방구조용 엘리베이터의 비상발전기 시험]
① 소방구조용 → 소방구조용의 경우 아래의 시험 방법 중 택 1
a. 비상발전기 테스트
b. 제조사의 자체시험성적서
c. 비상발전기 점검일지
② 타용도 → 소방구조용의 경우 아래의 시험 방법 중 택 1
a. 비상발전기 테스트
b. 제조사의 자체시험성적서</t>
    <phoneticPr fontId="1" type="noConversion"/>
  </si>
  <si>
    <t>비상발전기</t>
    <phoneticPr fontId="1" type="noConversion"/>
  </si>
  <si>
    <t>17.2.9</t>
    <phoneticPr fontId="1" type="noConversion"/>
  </si>
  <si>
    <t>[소방구조 및 피난용의 통화 연결 범위]
① 비상구출_피난공간(피트, 승강로 내부 작업구역, 카 상부 등)에서 조작할 수 있는비상통화장치
 a. 피난공간에서 조작할 수 있는 비상통화장치의 연결 범위는 건축물이나 시설물의 관리 인력이 상주하는 장소로 적용할 수 있음
 b. 유지관리 시 상기 장소에 관리 인력이 상주하지 않는 경우에는 피난공간에서 조작할 수 있는 비상통화장치는 외부로 자동 연결되도록 구성하여야 함
② 소방 및 피난 활동 통화시스템의 외부 자동연결
 a. 17.2.8.7 마)항에 따라 소방운전 제어 조건 아래에서 소방 활동 통화시스템이 작동되어야 하나 다)항에 따른 비상통화버튼은 외부로의 자동 연결을 적용하지 않을 수 있음 
 b. 17.3.5.7 다)항에 따라 피난호출 운전 제어 조건 아래에서 피난 활동 통화시스템이 작동되어야 하나 다)항에 따른 비상통화버튼은 외부로의 자동 연결을 적용하지 않을 수 있음</t>
    <phoneticPr fontId="1" type="noConversion"/>
  </si>
  <si>
    <t>17.2.12</t>
    <phoneticPr fontId="1" type="noConversion"/>
  </si>
  <si>
    <t>통화시스템</t>
    <phoneticPr fontId="1" type="noConversion"/>
  </si>
  <si>
    <t>제연설비 설치</t>
    <phoneticPr fontId="1" type="noConversion"/>
  </si>
  <si>
    <t>① 소방구조용, 피난용 엘리베이터에 제한적으로 설치 가능
② 평소에는 닫힘 상태를 유지하는 구조로 조절·제어장치는 승강로 외부에 설치되어야 함
③ 해당 설비로 인해 카문 방향으로 개구부 등이 형성된 경우
 a. 엘리베이터 안전기준에 따라 승강로 내측과 카 문턱, 카 문틀 또는 카문의 닫히는 모서리 사이의 수평거리가 0.15 m를 초과하지 않아야 함
★ 층과 층사이 카문 열림 구간 내 설치 시 카문 잠금장치 또는 페이셔플레이트
설치, 전면 고정난간 등이 고려될 수 있음
④ 해당 설비가 승강로 내부에서 0.15 m 이상 돌출되어 사람이 서있을 수 있는 공간이 발생한 경우
 a. 엘리베이터 안전기준에 따라 모따기, 디플렉터 등의 조치가 되어야 함. 다만, 보호난간이 설치된 경우 모따기 및 디플렉터 제외 가능
⑤ 승강로 내 제연수평덕트 연결부 요구사항
 a. 피트 바닥이 아닌 승강로 벽면(측면) 쪽에서 설치되어 송풍될 수 있도록 매립 설치되어야 하며 승강기 안전부품과 간섭이 없어야 함
 b. 승강로 벽면(측면)에 설치되는 제연수평덕트의 최저위치는 피트 내부의 최대누수 수준 위로 0.5m 이상이어야 함
⑥ 승강로 벽 제연차압댐퍼 요구사항
 a. 개구부를 통한 위험지역의 접촉을 막기 위해 승강로 안쪽에 KS B ISO 13857, 표4에 따른 매쉬(불연재료) 등의 막는 조치
 b. 막는 조치의 기계적 강도는 5㎠ 면적의 원형 또는 정사각형 모양의 어느 지점마다 수직으로 300N의 힘을 균등하게 분산하여 가할 때 1mm를 초과하는 영구적인 변형 및 35mm를 초과하는 탄성변형이 없어야 함</t>
    <phoneticPr fontId="1" type="noConversion"/>
  </si>
  <si>
    <t>⑦ 승강로 내 제연설비의 수평덕트 및 차압댐퍼를 설치하는 경우 엘리베이터의 안전한 운행을 위해 관련 설비의 크기와 위치 등은 설계 시 협의에 따라 엘리베이터 관련 도면에 표시되고 설치되어야 함</t>
    <phoneticPr fontId="1" type="noConversion"/>
  </si>
  <si>
    <t>장애인용 엘리베이터 적용</t>
    <phoneticPr fontId="1" type="noConversion"/>
  </si>
  <si>
    <t>① 이용자와 직접 관련이 없는 장애인등편의법 시행규칙과 중복된 기준(승강기 내부 크기, 거울 부착 등)은 보건복지부의 유권해석에 따름
② 안전확인이 필요한 검사항목(10초 이상 문이 열린채 대기) 등은 엘리베이터 안전기준에 따름</t>
    <phoneticPr fontId="1" type="noConversion"/>
  </si>
  <si>
    <t>항목</t>
    <phoneticPr fontId="1" type="noConversion"/>
  </si>
  <si>
    <t>값</t>
    <phoneticPr fontId="1" type="noConversion"/>
  </si>
  <si>
    <t>단위</t>
    <phoneticPr fontId="1" type="noConversion"/>
  </si>
  <si>
    <t>kg</t>
    <phoneticPr fontId="1" type="noConversion"/>
  </si>
  <si>
    <t>최대정원</t>
    <phoneticPr fontId="1" type="noConversion"/>
  </si>
  <si>
    <t>인승</t>
    <phoneticPr fontId="1" type="noConversion"/>
  </si>
  <si>
    <t>정격속도</t>
    <phoneticPr fontId="1" type="noConversion"/>
  </si>
  <si>
    <t>m/s</t>
    <phoneticPr fontId="1" type="noConversion"/>
  </si>
  <si>
    <t>전동기용량</t>
    <phoneticPr fontId="1" type="noConversion"/>
  </si>
  <si>
    <t>kW</t>
    <phoneticPr fontId="1" type="noConversion"/>
  </si>
  <si>
    <t>정격전압</t>
    <phoneticPr fontId="1" type="noConversion"/>
  </si>
  <si>
    <t>V</t>
    <phoneticPr fontId="1" type="noConversion"/>
  </si>
  <si>
    <t>정격전류</t>
    <phoneticPr fontId="1" type="noConversion"/>
  </si>
  <si>
    <t>A</t>
    <phoneticPr fontId="1" type="noConversion"/>
  </si>
  <si>
    <t>카치수(폭)</t>
    <phoneticPr fontId="1" type="noConversion"/>
  </si>
  <si>
    <t>mm</t>
    <phoneticPr fontId="1" type="noConversion"/>
  </si>
  <si>
    <t>카치수(안길이)</t>
    <phoneticPr fontId="1" type="noConversion"/>
  </si>
  <si>
    <t>카출입구치수(폭)</t>
    <phoneticPr fontId="1" type="noConversion"/>
  </si>
  <si>
    <t>mm</t>
    <phoneticPr fontId="1" type="noConversion"/>
  </si>
  <si>
    <t>카출입구치수(높이)</t>
    <phoneticPr fontId="1" type="noConversion"/>
  </si>
  <si>
    <t>매다는장치의 두께</t>
    <phoneticPr fontId="1" type="noConversion"/>
  </si>
  <si>
    <t>매다는장치의 가닥수</t>
    <phoneticPr fontId="1" type="noConversion"/>
  </si>
  <si>
    <t>가닥</t>
    <phoneticPr fontId="1" type="noConversion"/>
  </si>
  <si>
    <t>과속 조절기 로프지름</t>
    <phoneticPr fontId="1" type="noConversion"/>
  </si>
  <si>
    <t>mm</t>
    <phoneticPr fontId="1" type="noConversion"/>
  </si>
  <si>
    <t>카 주행안내레일</t>
    <phoneticPr fontId="1" type="noConversion"/>
  </si>
  <si>
    <t>(K(T))</t>
    <phoneticPr fontId="1" type="noConversion"/>
  </si>
  <si>
    <t>균형추 주행안내레일</t>
    <phoneticPr fontId="1" type="noConversion"/>
  </si>
  <si>
    <t>(K(T))</t>
    <phoneticPr fontId="1" type="noConversion"/>
  </si>
  <si>
    <t>CAR 로프 단말처리</t>
    <phoneticPr fontId="1" type="noConversion"/>
  </si>
  <si>
    <t>선택</t>
    <phoneticPr fontId="1" type="noConversion"/>
  </si>
  <si>
    <t>CWT 로프 단말처리</t>
    <phoneticPr fontId="1" type="noConversion"/>
  </si>
  <si>
    <t>선택</t>
    <phoneticPr fontId="1" type="noConversion"/>
  </si>
  <si>
    <t>공급전원 전압(건물측)</t>
    <phoneticPr fontId="1" type="noConversion"/>
  </si>
  <si>
    <t>V</t>
    <phoneticPr fontId="1" type="noConversion"/>
  </si>
  <si>
    <t>공급전원 주파수(건물측)</t>
    <phoneticPr fontId="1" type="noConversion"/>
  </si>
  <si>
    <t>Hz</t>
    <phoneticPr fontId="1" type="noConversion"/>
  </si>
  <si>
    <t>구동기 공간</t>
    <phoneticPr fontId="1" type="noConversion"/>
  </si>
  <si>
    <t>구동기 방식</t>
    <phoneticPr fontId="1" type="noConversion"/>
  </si>
  <si>
    <t>균형추 무게</t>
    <phoneticPr fontId="1" type="noConversion"/>
  </si>
  <si>
    <t>kg</t>
    <phoneticPr fontId="1" type="noConversion"/>
  </si>
  <si>
    <t>균형추 완충기거리</t>
    <phoneticPr fontId="1" type="noConversion"/>
  </si>
  <si>
    <t>균형추측 최대런바이</t>
    <phoneticPr fontId="1" type="noConversion"/>
  </si>
  <si>
    <t>기계실 위치</t>
    <phoneticPr fontId="1" type="noConversion"/>
  </si>
  <si>
    <t>기어형식</t>
    <phoneticPr fontId="1" type="noConversion"/>
  </si>
  <si>
    <t>선택</t>
    <phoneticPr fontId="1" type="noConversion"/>
  </si>
  <si>
    <t>도킹운전</t>
    <phoneticPr fontId="1" type="noConversion"/>
  </si>
  <si>
    <t>선택</t>
    <phoneticPr fontId="1" type="noConversion"/>
  </si>
  <si>
    <t>문개폐 방식</t>
    <phoneticPr fontId="1" type="noConversion"/>
  </si>
  <si>
    <t>문의 동작</t>
    <phoneticPr fontId="1" type="noConversion"/>
  </si>
  <si>
    <t>보상로프(체인)</t>
    <phoneticPr fontId="1" type="noConversion"/>
  </si>
  <si>
    <t>보상수단 종류</t>
    <phoneticPr fontId="1" type="noConversion"/>
  </si>
  <si>
    <t>보조전원 공급장치(비상용)</t>
    <phoneticPr fontId="1" type="noConversion"/>
  </si>
  <si>
    <t>비상구출구</t>
    <phoneticPr fontId="1" type="noConversion"/>
  </si>
  <si>
    <t>승강로 내의 기계류 작업구역</t>
    <phoneticPr fontId="1" type="noConversion"/>
  </si>
  <si>
    <t>승강로구획</t>
    <phoneticPr fontId="1" type="noConversion"/>
  </si>
  <si>
    <t>승강장문 11m 초과</t>
    <phoneticPr fontId="1" type="noConversion"/>
  </si>
  <si>
    <t>오버밸런스</t>
    <phoneticPr fontId="1" type="noConversion"/>
  </si>
  <si>
    <t>%</t>
    <phoneticPr fontId="1" type="noConversion"/>
  </si>
  <si>
    <t>완충기</t>
    <phoneticPr fontId="1" type="noConversion"/>
  </si>
  <si>
    <t>완충기 행정(균형추 측)</t>
    <phoneticPr fontId="1" type="noConversion"/>
  </si>
  <si>
    <t>운행거리</t>
    <phoneticPr fontId="1" type="noConversion"/>
  </si>
  <si>
    <t>m</t>
    <phoneticPr fontId="1" type="noConversion"/>
  </si>
  <si>
    <t>운행층수(정면)</t>
    <phoneticPr fontId="1" type="noConversion"/>
  </si>
  <si>
    <t>층</t>
    <phoneticPr fontId="1" type="noConversion"/>
  </si>
  <si>
    <t>운행층수(측면)</t>
    <phoneticPr fontId="1" type="noConversion"/>
  </si>
  <si>
    <t>층</t>
    <phoneticPr fontId="1" type="noConversion"/>
  </si>
  <si>
    <t>의도되지 않는 카 보호</t>
    <phoneticPr fontId="1" type="noConversion"/>
  </si>
  <si>
    <t>장애인 교통약자편의시설</t>
    <phoneticPr fontId="1" type="noConversion"/>
  </si>
  <si>
    <t>점검문/비상용문</t>
    <phoneticPr fontId="1" type="noConversion"/>
  </si>
  <si>
    <t>추락방지안전장치</t>
    <phoneticPr fontId="1" type="noConversion"/>
  </si>
  <si>
    <t>카 무게</t>
    <phoneticPr fontId="1" type="noConversion"/>
  </si>
  <si>
    <t>kg</t>
    <phoneticPr fontId="1" type="noConversion"/>
  </si>
  <si>
    <t>카출입구치수(길이:100mm 초과의 경우)</t>
    <phoneticPr fontId="1" type="noConversion"/>
  </si>
  <si>
    <t>풀리공간</t>
    <phoneticPr fontId="1" type="noConversion"/>
  </si>
  <si>
    <t>풀리실 구획</t>
    <phoneticPr fontId="1" type="noConversion"/>
  </si>
  <si>
    <t>플랫폼</t>
    <phoneticPr fontId="1" type="noConversion"/>
  </si>
  <si>
    <t>피트하부 사용</t>
    <phoneticPr fontId="1" type="noConversion"/>
  </si>
  <si>
    <t>현수수단</t>
    <phoneticPr fontId="1" type="noConversion"/>
  </si>
  <si>
    <t>MR, MRL</t>
    <phoneticPr fontId="1" type="noConversion"/>
  </si>
  <si>
    <t>기계실 내부, 승강로 상부, 승강로 하부, 기타</t>
    <phoneticPr fontId="1" type="noConversion"/>
  </si>
  <si>
    <t>GL, WG</t>
    <phoneticPr fontId="1" type="noConversion"/>
  </si>
  <si>
    <t>CO, SO, VO</t>
    <phoneticPr fontId="1" type="noConversion"/>
  </si>
  <si>
    <t>보상체인, 보상로프</t>
    <phoneticPr fontId="1" type="noConversion"/>
  </si>
  <si>
    <t>천정, 카 옆</t>
    <phoneticPr fontId="1" type="noConversion"/>
  </si>
  <si>
    <t>승강로 상부, 승강로 하부, 해당없음</t>
    <phoneticPr fontId="1" type="noConversion"/>
  </si>
  <si>
    <t>유압, 우레탄, 스프링</t>
    <phoneticPr fontId="1" type="noConversion"/>
  </si>
  <si>
    <t>이중브레이크, 로프브레이크</t>
    <phoneticPr fontId="1" type="noConversion"/>
  </si>
  <si>
    <t>점차작동형, 즉시작동형</t>
    <phoneticPr fontId="1" type="noConversion"/>
  </si>
  <si>
    <t>로프, 벨트</t>
    <phoneticPr fontId="1" type="noConversion"/>
  </si>
  <si>
    <t>비상운전 및 작동시험을 위한 장치 조도</t>
    <phoneticPr fontId="1" type="noConversion"/>
  </si>
  <si>
    <t>lx</t>
    <phoneticPr fontId="1" type="noConversion"/>
  </si>
  <si>
    <t>기계실 작업공간의 바닥 면 조도</t>
    <phoneticPr fontId="1" type="noConversion"/>
  </si>
  <si>
    <t>lx</t>
    <phoneticPr fontId="1" type="noConversion"/>
  </si>
  <si>
    <t>m</t>
    <phoneticPr fontId="1" type="noConversion"/>
  </si>
  <si>
    <t>m</t>
    <phoneticPr fontId="1" type="noConversion"/>
  </si>
  <si>
    <t>lx</t>
    <phoneticPr fontId="1" type="noConversion"/>
  </si>
  <si>
    <t>㎡</t>
    <phoneticPr fontId="1" type="noConversion"/>
  </si>
  <si>
    <t>브레이크 감속도(정격하중의 125% 하강방향)</t>
    <phoneticPr fontId="1" type="noConversion"/>
  </si>
  <si>
    <t>A</t>
    <phoneticPr fontId="1" type="noConversion"/>
  </si>
  <si>
    <t>무부하 상승 속도</t>
    <phoneticPr fontId="1" type="noConversion"/>
  </si>
  <si>
    <t>m/s</t>
    <phoneticPr fontId="1" type="noConversion"/>
  </si>
  <si>
    <t>오버밸런스율 하강 속도</t>
    <phoneticPr fontId="1" type="noConversion"/>
  </si>
  <si>
    <t>정격하중 상승 속도</t>
    <phoneticPr fontId="1" type="noConversion"/>
  </si>
  <si>
    <t>오버밸런스율 착상 속도</t>
    <phoneticPr fontId="1" type="noConversion"/>
  </si>
  <si>
    <t>오버밸런스율 재착상 속도</t>
    <phoneticPr fontId="1" type="noConversion"/>
  </si>
  <si>
    <t>㏁</t>
    <phoneticPr fontId="1" type="noConversion"/>
  </si>
  <si>
    <t>조명장치 절연저항</t>
    <phoneticPr fontId="1" type="noConversion"/>
  </si>
  <si>
    <t>기계실 작업공간 간 이동 공간의 바닥면 조도</t>
    <phoneticPr fontId="1" type="noConversion"/>
  </si>
  <si>
    <t>m</t>
    <phoneticPr fontId="1" type="noConversion"/>
  </si>
  <si>
    <t>피트 바닥과 카의 가장 낮은 부분 사이의 유효 수직거리</t>
    <phoneticPr fontId="1" type="noConversion"/>
  </si>
  <si>
    <t>g</t>
    <phoneticPr fontId="1" type="noConversion"/>
  </si>
  <si>
    <t>승강장 바닥 조도</t>
    <phoneticPr fontId="1" type="noConversion"/>
  </si>
  <si>
    <t>오버밸런스율 비상운전 속도</t>
    <phoneticPr fontId="1" type="noConversion"/>
  </si>
  <si>
    <t>전동기 절연저항</t>
    <phoneticPr fontId="1" type="noConversion"/>
  </si>
  <si>
    <t>권상식 카 측 레일의 연장 길이</t>
    <phoneticPr fontId="1" type="noConversion"/>
  </si>
  <si>
    <t>권상식 승강로 천장의 가장 낮은 부분과 카 지붕의 가장 높은 부분 수직거리</t>
    <phoneticPr fontId="1" type="noConversion"/>
  </si>
  <si>
    <t>권상식 승강로 천장의 가장 낮은 부분과 수평거리 0.4m 이내의 부품 수직거리</t>
    <phoneticPr fontId="1" type="noConversion"/>
  </si>
  <si>
    <t>피트 바닥과 카의 가장 낮은 부분 사이의 유효 수직거리</t>
    <phoneticPr fontId="1" type="noConversion"/>
  </si>
  <si>
    <t>피트 바닥과 인접한 벽에서 수평거리 0.15m 이내 부품과의 수직거리</t>
    <phoneticPr fontId="1" type="noConversion"/>
  </si>
  <si>
    <t>피트 바닥과 주행안내 레일에서 최대 수평거리 이내 부품 수직거리</t>
    <phoneticPr fontId="1" type="noConversion"/>
  </si>
  <si>
    <t>피트에서 고정된 가장 높은 부분과 카의 가장 낮은 부분 유효 수직거리</t>
    <phoneticPr fontId="1" type="noConversion"/>
  </si>
  <si>
    <t>균형추 또는 평형추의 레일 연장길이</t>
    <phoneticPr fontId="1" type="noConversion"/>
  </si>
  <si>
    <t>승강장문 어린이 손끼임 방지수단 틈새</t>
    <phoneticPr fontId="1" type="noConversion"/>
  </si>
  <si>
    <t>카 지붕/피트 바닥에서 1m 떨어진 곳의 조도</t>
    <phoneticPr fontId="1" type="noConversion"/>
  </si>
  <si>
    <t>카 유효면적</t>
    <phoneticPr fontId="1" type="noConversion"/>
  </si>
  <si>
    <t>카 조작반/카 벽에서 100mm 이상 떨어진 카 바닥 위 1m 조도</t>
    <phoneticPr fontId="1" type="noConversion"/>
  </si>
  <si>
    <t>비상통화장치, 카 바닥 위 1m 지점 카 중심부 비상등 조도</t>
    <phoneticPr fontId="1" type="noConversion"/>
  </si>
  <si>
    <t>비상통화장치, 카 지붕 바닥 위 1m 지점 카 지붕 중심부 비상등 조도</t>
    <phoneticPr fontId="1" type="noConversion"/>
  </si>
  <si>
    <t>카문 어린이 손끼임 방지수단 틈새</t>
    <phoneticPr fontId="1" type="noConversion"/>
  </si>
  <si>
    <t>매다는 장치 두께(측정값)</t>
    <phoneticPr fontId="1" type="noConversion"/>
  </si>
  <si>
    <t>최대 부하에서 전류</t>
    <phoneticPr fontId="1" type="noConversion"/>
  </si>
  <si>
    <t>무부하 상승 전류</t>
    <phoneticPr fontId="1" type="noConversion"/>
  </si>
  <si>
    <t>무부하 하강 속도</t>
    <phoneticPr fontId="1" type="noConversion"/>
  </si>
  <si>
    <t>무부하 하강 전류</t>
    <phoneticPr fontId="1" type="noConversion"/>
  </si>
  <si>
    <t>오버밸런스율 상승 속도</t>
    <phoneticPr fontId="1" type="noConversion"/>
  </si>
  <si>
    <t>오버밸런스율 상승 전류</t>
    <phoneticPr fontId="1" type="noConversion"/>
  </si>
  <si>
    <t>오버밸런스율 하강 속도</t>
    <phoneticPr fontId="1" type="noConversion"/>
  </si>
  <si>
    <t>오버밸런스율 하강 전류</t>
    <phoneticPr fontId="1" type="noConversion"/>
  </si>
  <si>
    <t>정격하중 상승 속도</t>
    <phoneticPr fontId="1" type="noConversion"/>
  </si>
  <si>
    <t>정격하중 상승 전류</t>
    <phoneticPr fontId="1" type="noConversion"/>
  </si>
  <si>
    <t>정격하중 하강 속도</t>
    <phoneticPr fontId="1" type="noConversion"/>
  </si>
  <si>
    <t>정격하중 하강 전류</t>
    <phoneticPr fontId="1" type="noConversion"/>
  </si>
  <si>
    <t>오버밸런스율 착상 속도</t>
    <phoneticPr fontId="1" type="noConversion"/>
  </si>
  <si>
    <t>오버밸런스율 재착상 속도</t>
    <phoneticPr fontId="1" type="noConversion"/>
  </si>
  <si>
    <t>오버밸런스율 점검운전 속도</t>
    <phoneticPr fontId="1" type="noConversion"/>
  </si>
  <si>
    <t>조명장치 절연저항</t>
    <phoneticPr fontId="1" type="noConversion"/>
  </si>
  <si>
    <t>항목</t>
    <phoneticPr fontId="1" type="noConversion"/>
  </si>
  <si>
    <t>입력키</t>
    <phoneticPr fontId="1" type="noConversion"/>
  </si>
  <si>
    <t>최소값</t>
    <phoneticPr fontId="1" type="noConversion"/>
  </si>
  <si>
    <t>최대값</t>
    <phoneticPr fontId="1" type="noConversion"/>
  </si>
  <si>
    <t>단위</t>
    <phoneticPr fontId="1" type="noConversion"/>
  </si>
  <si>
    <t>비상운전 및 작동시험을 위한 장치 조도</t>
    <phoneticPr fontId="1" type="noConversion"/>
  </si>
  <si>
    <t>lx</t>
    <phoneticPr fontId="1" type="noConversion"/>
  </si>
  <si>
    <t>기계실 작업공간의 바닥 면 조도</t>
    <phoneticPr fontId="1" type="noConversion"/>
  </si>
  <si>
    <t>lx</t>
    <phoneticPr fontId="1" type="noConversion"/>
  </si>
  <si>
    <t>기계실 작업공간 간 이동 공간의 바닥면 조도</t>
    <phoneticPr fontId="1" type="noConversion"/>
  </si>
  <si>
    <t>lx</t>
    <phoneticPr fontId="1" type="noConversion"/>
  </si>
  <si>
    <t>권상식 카 측 레일의 연장 길이</t>
    <phoneticPr fontId="1" type="noConversion"/>
  </si>
  <si>
    <t>m</t>
    <phoneticPr fontId="1" type="noConversion"/>
  </si>
  <si>
    <t>권상식 승강로 천장의 가장 낮은 부분과 카 지붕의 가장 높은 부분 수직거리</t>
    <phoneticPr fontId="1" type="noConversion"/>
  </si>
  <si>
    <t>권상식 승강로 천장의 가장 낮은 부분과 수평거리 0.4m 이내의 부품 수직거리</t>
    <phoneticPr fontId="1" type="noConversion"/>
  </si>
  <si>
    <t>m</t>
    <phoneticPr fontId="1" type="noConversion"/>
  </si>
  <si>
    <t>m</t>
    <phoneticPr fontId="1" type="noConversion"/>
  </si>
  <si>
    <t>피트 바닥과 인접한 벽에서 수평거리 0.15m 이내 부품과의 수직거리</t>
    <phoneticPr fontId="1" type="noConversion"/>
  </si>
  <si>
    <t>m</t>
    <phoneticPr fontId="1" type="noConversion"/>
  </si>
  <si>
    <t>피트 바닥과 주행안내 레일에서 최대 수평거리 이내 부품 수직거리</t>
    <phoneticPr fontId="1" type="noConversion"/>
  </si>
  <si>
    <t>m</t>
    <phoneticPr fontId="1" type="noConversion"/>
  </si>
  <si>
    <t>피트에서 고정된 가장 높은 부분과 카의 가장 낮은 부분 유효 수직거리</t>
    <phoneticPr fontId="1" type="noConversion"/>
  </si>
  <si>
    <t>균형추 또는 평형추의 레일 연장길이</t>
    <phoneticPr fontId="1" type="noConversion"/>
  </si>
  <si>
    <t>승강장문 어린이 손끼임 방지수단 틈새</t>
    <phoneticPr fontId="1" type="noConversion"/>
  </si>
  <si>
    <t>mm</t>
    <phoneticPr fontId="1" type="noConversion"/>
  </si>
  <si>
    <t>카 지붕/피트 바닥에서 1m 떨어진 곳의 조도</t>
    <phoneticPr fontId="1" type="noConversion"/>
  </si>
  <si>
    <t>카 유효면적</t>
    <phoneticPr fontId="1" type="noConversion"/>
  </si>
  <si>
    <t>㎡</t>
    <phoneticPr fontId="1" type="noConversion"/>
  </si>
  <si>
    <t>카 조작반/카 벽에서 100mm 이상 떨어진 카 바닥 위 1m 조도</t>
    <phoneticPr fontId="1" type="noConversion"/>
  </si>
  <si>
    <t>비상통화장치, 카 바닥 위 1m 지점 카 중심부 비상등 조도</t>
    <phoneticPr fontId="1" type="noConversion"/>
  </si>
  <si>
    <t>lx</t>
    <phoneticPr fontId="1" type="noConversion"/>
  </si>
  <si>
    <t>비상통화장치, 카 지붕 바닥 위 1m 지점 카 지붕 중심부 비상등 조도</t>
    <phoneticPr fontId="1" type="noConversion"/>
  </si>
  <si>
    <t>카문 어린이 손끼임 방지수단 틈새</t>
    <phoneticPr fontId="1" type="noConversion"/>
  </si>
  <si>
    <t>승강장 바닥 조도</t>
    <phoneticPr fontId="1" type="noConversion"/>
  </si>
  <si>
    <t>lx</t>
    <phoneticPr fontId="1" type="noConversion"/>
  </si>
  <si>
    <t>브레이크 감속도(정격하중의 125% 하강방향)</t>
    <phoneticPr fontId="1" type="noConversion"/>
  </si>
  <si>
    <t>g</t>
    <phoneticPr fontId="1" type="noConversion"/>
  </si>
  <si>
    <t>최대 부하에서 전류</t>
    <phoneticPr fontId="1" type="noConversion"/>
  </si>
  <si>
    <t>무부하 상승 속도</t>
    <phoneticPr fontId="1" type="noConversion"/>
  </si>
  <si>
    <t>m/s</t>
    <phoneticPr fontId="1" type="noConversion"/>
  </si>
  <si>
    <t>무부하 상승 전류</t>
    <phoneticPr fontId="1" type="noConversion"/>
  </si>
  <si>
    <t>A</t>
    <phoneticPr fontId="1" type="noConversion"/>
  </si>
  <si>
    <t>무부하 하강 전류</t>
    <phoneticPr fontId="1" type="noConversion"/>
  </si>
  <si>
    <t>오버밸런스율 상승 속도</t>
    <phoneticPr fontId="1" type="noConversion"/>
  </si>
  <si>
    <t>m/s</t>
    <phoneticPr fontId="1" type="noConversion"/>
  </si>
  <si>
    <t>오버밸런스율 상승 전류</t>
    <phoneticPr fontId="1" type="noConversion"/>
  </si>
  <si>
    <t>A</t>
    <phoneticPr fontId="1" type="noConversion"/>
  </si>
  <si>
    <t>m/s</t>
    <phoneticPr fontId="1" type="noConversion"/>
  </si>
  <si>
    <t>오버밸런스율 하강 전류</t>
    <phoneticPr fontId="1" type="noConversion"/>
  </si>
  <si>
    <t>정격하중 상승 전류</t>
    <phoneticPr fontId="1" type="noConversion"/>
  </si>
  <si>
    <t>정격하중 하강 속도</t>
    <phoneticPr fontId="1" type="noConversion"/>
  </si>
  <si>
    <t>정격하중 하강 전류</t>
    <phoneticPr fontId="1" type="noConversion"/>
  </si>
  <si>
    <t>A</t>
    <phoneticPr fontId="1" type="noConversion"/>
  </si>
  <si>
    <t>오버밸런스율 점검운전 속도</t>
    <phoneticPr fontId="1" type="noConversion"/>
  </si>
  <si>
    <t>오버밸런스율 비상운전 속도</t>
    <phoneticPr fontId="1" type="noConversion"/>
  </si>
  <si>
    <t>m/s</t>
    <phoneticPr fontId="1" type="noConversion"/>
  </si>
  <si>
    <t>전동기 절연저항</t>
    <phoneticPr fontId="1" type="noConversion"/>
  </si>
  <si>
    <t>정격하중</t>
    <phoneticPr fontId="1" type="noConversion"/>
  </si>
  <si>
    <t>payload</t>
  </si>
  <si>
    <t>personnel</t>
  </si>
  <si>
    <t>rated_voltage</t>
  </si>
  <si>
    <t>rated_current</t>
  </si>
  <si>
    <t>motor_power</t>
  </si>
  <si>
    <t>car_width</t>
  </si>
  <si>
    <t>car_depth</t>
  </si>
  <si>
    <t>car_door_width</t>
  </si>
  <si>
    <t>car_door_height</t>
  </si>
  <si>
    <t>suspension_thickness</t>
  </si>
  <si>
    <t>suspension_strand_count</t>
  </si>
  <si>
    <t>gov_rope_dia</t>
  </si>
  <si>
    <t>car_guide_rail</t>
  </si>
  <si>
    <t>cwt_guide_rail</t>
  </si>
  <si>
    <t>car_rope_terminal</t>
  </si>
  <si>
    <t>cwt_rope_terminal</t>
  </si>
  <si>
    <t>supply_voltage_building</t>
  </si>
  <si>
    <t>supply_freq_building</t>
  </si>
  <si>
    <t>machine_space</t>
  </si>
  <si>
    <t>drive_type</t>
  </si>
  <si>
    <t>cwt_weight</t>
  </si>
  <si>
    <t>cwt_buffer_distance</t>
  </si>
  <si>
    <t>cwt_max_runby</t>
  </si>
  <si>
    <t>machine_room_location</t>
  </si>
  <si>
    <t>gear_type</t>
  </si>
  <si>
    <t>docking_operation</t>
  </si>
  <si>
    <t>door_operator_type</t>
  </si>
  <si>
    <t>door_motion</t>
  </si>
  <si>
    <t>compensation_rope</t>
  </si>
  <si>
    <t>compensation_type</t>
  </si>
  <si>
    <t>ups_emergency</t>
  </si>
  <si>
    <t>emergency_exit</t>
  </si>
  <si>
    <t>machinery_work_zone</t>
  </si>
  <si>
    <t>hoistway_enclosure</t>
  </si>
  <si>
    <t>landing_door_over11m</t>
  </si>
  <si>
    <t>overbalance</t>
  </si>
  <si>
    <t>buffer_type</t>
  </si>
  <si>
    <t>buffer_stroke_cwt</t>
  </si>
  <si>
    <t>buffer_stroke_car</t>
  </si>
  <si>
    <t>travel_distance</t>
  </si>
  <si>
    <t>stops_front</t>
  </si>
  <si>
    <t>stops_side</t>
  </si>
  <si>
    <t>unintended_car_movement_protection</t>
  </si>
  <si>
    <t>accessibility_facilities</t>
  </si>
  <si>
    <t>inspection_door</t>
  </si>
  <si>
    <t>fall_protection</t>
  </si>
  <si>
    <t>car_weight</t>
  </si>
  <si>
    <t>car_buffer_distance_meas</t>
  </si>
  <si>
    <t>car_sill_extra_length</t>
  </si>
  <si>
    <t>sheave_space</t>
  </si>
  <si>
    <t>pulley_room_enclosure</t>
  </si>
  <si>
    <t>platform</t>
  </si>
  <si>
    <t>pit_below_use</t>
  </si>
  <si>
    <t>suspension_means</t>
  </si>
  <si>
    <t>em_operation_lux</t>
  </si>
  <si>
    <t>machine_room_lux</t>
  </si>
  <si>
    <t>machine_access_way_lux</t>
  </si>
  <si>
    <t>traction_car_rail_extension</t>
  </si>
  <si>
    <t>traction_overhead_clearance</t>
  </si>
  <si>
    <t>traction_overhead_clearance_04m</t>
  </si>
  <si>
    <t>pit_clearance_car_lowest</t>
  </si>
  <si>
    <t>pit_clearance_wall_015m</t>
  </si>
  <si>
    <t>pit_clearance_rail</t>
  </si>
  <si>
    <t>pit_clearance_fixed_highest</t>
  </si>
  <si>
    <t>cwt_rail_extension</t>
  </si>
  <si>
    <t>landing_door_finger_gap</t>
  </si>
  <si>
    <t>car_roof_pit_lux_1m</t>
  </si>
  <si>
    <t>car_usable_area</t>
  </si>
  <si>
    <t>car_panel_lux</t>
  </si>
  <si>
    <t>em_light_floor_lux</t>
  </si>
  <si>
    <t>em_light_roof_lux</t>
  </si>
  <si>
    <t>car_door_finger_gap</t>
  </si>
  <si>
    <t>landing_floor_lux</t>
  </si>
  <si>
    <t>suspension_thickness_meas</t>
  </si>
  <si>
    <t>brake_deceleration_125</t>
  </si>
  <si>
    <t>full_load_current</t>
  </si>
  <si>
    <t>no_load_up_speed</t>
  </si>
  <si>
    <t>no_load_up_current</t>
  </si>
  <si>
    <t>no_load_down_speed</t>
  </si>
  <si>
    <t>no_load_down_current</t>
  </si>
  <si>
    <t>overbalance_up_speed</t>
  </si>
  <si>
    <t>overbalance_up_current</t>
  </si>
  <si>
    <t>overbalance_down_speed</t>
  </si>
  <si>
    <t>overbalance_down_current</t>
  </si>
  <si>
    <t>rated_load_up_speed</t>
  </si>
  <si>
    <t>rated_load_up_current</t>
  </si>
  <si>
    <t>rated_load_down_speed</t>
  </si>
  <si>
    <t>rated_load_down_current</t>
  </si>
  <si>
    <t>overbalance_setting_speed</t>
  </si>
  <si>
    <t>overbalance_resettling_speed</t>
  </si>
  <si>
    <t>overbalance_inspection_speed</t>
  </si>
  <si>
    <t>overbalance_em_speed</t>
  </si>
  <si>
    <t>motor_insulation_resistance</t>
  </si>
  <si>
    <t>lighting_insulation_resistance</t>
  </si>
  <si>
    <t>장애인용 엘리베이터 군관리 적용</t>
    <phoneticPr fontId="1" type="noConversion"/>
  </si>
  <si>
    <t>① 장애인용 엘리베이터 운행방식에 대하여 보건복지부에서는 '군관리 방식은 독립적으로 운행되는 장애인전용엘리베이터를 확보할 경우 허용될 수 있음. 다만, 승강기가 2대일 경우 군관리방식을 적용하고자 한다면 승강기 두 대가 모두 장애인용 승강기 기준을 충족해야 함'으로 유권해석[보건복지부 장애인권익지원과-1193(2010.06.16)]을 하고 있음
② 이에, 장애인용 엘리베이터의 군관리 운행은 상기의 단서조항에 적합한 경우에 한하여 제한적으로 허용될 수 있으며, 3대 이상의 장애인용 엘리베이터 군관리 운행방식은 부적합함</t>
    <phoneticPr fontId="1" type="noConversion"/>
  </si>
  <si>
    <t>기준전환일</t>
    <phoneticPr fontId="1" type="noConversion"/>
  </si>
  <si>
    <t>기계실, 기계류 공간 조명</t>
    <phoneticPr fontId="1" type="noConversion"/>
  </si>
  <si>
    <t>3.1.5(6) 기계실의 유지관리에 지장이 없도록 조명 및 환기시설은 다음 각항의  기준에 적합하여야 한다.
 ① 조명스위치는 출입구 가까이에 설치하고, 조명전원은 엘리베이터의 제어전원과 별도로 분리하여야 하며, 조도는 기기가 배치된 바닥면에서 100Lux 이상이어야 한다.
 4.1.1(1) 기계실의 구조 및 설비
③ 유지관리에 지장이 없도록 기계실의 조도는 기기가 배치된 바닥면에서 100Lux 이상이어야 하고, 환기는 적절하여야 하며, 실온은 원칙적으로 40℃ 이하를 유지하도록 하여야 한다.</t>
    <phoneticPr fontId="1" type="noConversion"/>
  </si>
  <si>
    <t>6.1.4.2</t>
    <phoneticPr fontId="1" type="noConversion"/>
  </si>
  <si>
    <t>6.3.7 조명 및 콘센트
기계실에는 바닥 면에서 200 lx 이상을 비출 수 있는 영구적으로 설치된 전기 조명이 있어야 한다. 이 조명의 전원공급은 13.6.1에 적합하여야 한다.
조명스위치는 쉽게 조명을 점멸할 수 있도록 기계실 출입문 가까이에 적절한 높이로 설치되어야 한다. 1개 이상의 콘센트(13.6.2)가 있어야 한다.
 6.4.9 조명 및 콘센트
작업구역 및 구동기 공간은 바닥 면에 200 lx 이상을 비출 수 있는 영구적으로 설치된 전기 조명이 있어야 한다. 이 조명의 전원공급은 13.6.1에 적합하여야 한다. 권한이 있는 사람만이 접근할 수 있고 적절한 높이로 출입지점에 가까이 설치된 조명스위치는 작업구역 및 공간의 조명을 점멸할 수 있어야 한다. 
비고 이 조명은 승강로 조명의 일부일 수 있다.  1개 이상의 콘센트(13.6.2)가 각 작업구역에 적절히 위치되어야 한다.
6.5.5 조명 및 콘센트
구동기 캐비닛은 바닥 면에 200 lx 이상을 비출 수 있는 영구적으로 설치된 전기 조명이 있어야 한다. 이 조명의 전원공급은 13.6.1에 적합하여야 한다. 적절한 높이로 문 가까이에 설치된 조명스위치는 캐비닛의 조명을 점멸할 수 있어야 한다. 1개 이상의 콘센트(13.6.2)가 있어야 한다.</t>
    <phoneticPr fontId="1" type="noConversion"/>
  </si>
  <si>
    <t>6.1.4.1</t>
    <phoneticPr fontId="1" type="noConversion"/>
  </si>
  <si>
    <t>5.9 승강로 조명
승강로에는 모든 문이 닫혀있을 때 카 지붕 및 피트 바닥 위로 1 m 위치에서 조도 50 lx 이상의 영구적으로 설치된 전기조명이 있어야 한다. 이 조명은 승강로의 천장 및 피트바닥에서 약 0.5 m에 중간전구(들)와 함께 각각 1개의 전구로 구성되어야 한다. 다만, 카 지붕에 조도 50 lx 이상의 조명장치(전구 포함)가 설치될 경우 중간전구는 제외될 수 있다.
5.2.1.2에 따라 승강로 벽이 일부 없는 경우, 이러한 조명은 승강로 주변에 충분한 전기조명이 있다면 생략될 수 있다.</t>
    <phoneticPr fontId="1" type="noConversion"/>
  </si>
  <si>
    <t>3.1.3(12) 피트에는 유지관리상 지장이 없도록 피트점검용 사다리 또는 출입구를 설치하여야 하며, 다음 각항의 기준에 적합하여야 한다. 다만, 피트깊이가 1.5m 미만인 경우에는 그러하지 아니하다.
 ① 사다리는 수직사다리로 설치하여야 한다.
 ② 피트깊이가 3.0m를 초과하는 경우에는 출입구를 설치할 수 있다. 이 경우 잠금장치가 있는 금속제 문을 설치하고, 출입구의 폭은 0.75m 이상, 높이는 1.2m 이상으로 하여야 한다.
 ③ 출입구가 닫혀있지 않는 경우에 엘리베이터가 움직이지 않도록 하는 도어스위치를 설치하여야 한다.
 ④ 동일 승강로에 2대 이상의 엘리베이터를 설치하는 경우에는 사다리 또는 출입구를 각각 설치하여야 하며, 1개의 출입구를 설치하여 공용하는 경우에는 출입구에서 가장 가까운 엘리베이터만이 제3항의 규정에 의한 도어스위치와 연동하여 정지하도록 하고, 다른 엘리베이터는 피트에 설치한 각각의 피트 정지스위치에 의해 개별정지가 가능한 구조로 하여야 한다.</t>
    <phoneticPr fontId="1" type="noConversion"/>
  </si>
  <si>
    <t>3.1.3(12) 피트에는 유지관리상 지장이 없도록 피트점검용 사다리 또는 출입구를 설치하여야 하며, 다음 각항의 기준에 적합하여야 한다. 다만, 피트깊이가 1.5m 미만인 경우에는 그러하지 아니하다.
 ① 사다리는 불연재료로 설치하여야 하고, 카의 운행에 지장을 주지 않고 피트 출입이 용이한 위치에 고정식으로 견고하게 설치하여야 한다. 사다리를 출입구 양옆에 설치할 경우에는 최하층 바닥보다 1.1m 이상 높이 설치하여야 한다.
 ② 피트깊이가 3.0m를 초과하는 경우에는 출입구를 설치할 수 있다. 이 경우잠금장치가 있는 금속제 문을 설치하고, 출입구의 폭은 0.75m 이상, 높이는 1.2m 이상으로 하여야 한다.
 ③ 출입구가 닫혀있지 않는 경우에 엘리베이터가 움직이지 않도록 하는 도어스위치를 설치하여야 한다.
 ④ 동일 승강로에 2대 이상의 엘리베이터를 설치하는 경우에는 사다리 또는 출입구를 각각 설치하여야 하며, 1개의 출입구를 설치하여 공용하는 경우에는 출입구에서 가장 가까운 엘리베이터만이 제3항의 규정에 의한 도어스위치와 연동하여 정지하도록 하고, 다른 엘리베이터는 피트에 설치한 각각의 피트 정지스위치에 의해 개별정지가 가능한 구조로 하여야 한다.</t>
    <phoneticPr fontId="1" type="noConversion"/>
  </si>
  <si>
    <t>5.7.3.2 승강장문 이외의 피트 출입문이 있는 경우, 피트 출입문은 5.2.2의 규정에 적합하여야 한다. 피트 출입문은 피트 
깊이가 2.5 m를 초과하는 경우에 설치되어야 한다. 다른 출입 수단이 없는 경우에는 점검자가 피트 바닥으로 안전하게 
내려갈 수 있도록 승강장문에서 쉽게 진입할 수 있는 영구적인 수단이 승강로 내부에 있어야 한다. 이 수단은 엘리베이터 
설비의 주행 공간으로 돌출되지 않아야 한다.</t>
    <phoneticPr fontId="1" type="noConversion"/>
  </si>
  <si>
    <t>5.7.3.2 피트에 출입하는 수단은 다음과 같아야 한다.
 가) 피트 깊이가 2.5 m를 초과하는 경우에는 피트 출입문이 설치되어야 한다.
 나) 피트 깊이가 2.5 m 이하인 경우에는 피트 출입문 또는 점검자 등 사람이 승강장문에서 쉽게 진입할 수 있는 피트 사다리가 설치되어야 한다.
피트 출입문은 점검문의 규정에 적합하여야 한다.(5.2.2 참조)
피트 사다리는 부속서 ⅩⅣ에 적합하여야 한다.
피트 사다리가 펼쳐진 위치에서 엘리베이터의 움직이는 부품과 충돌할 위험이 있는 경우에는 사다리가 보관위치에 있지 않을 때 엘리베이터의 운행을 막는 14.1.2에 적합한 전기안전장치가 있어야 한다. 피트 사다리가 피트 바닥에 보관되는 경우에는 사다리가 보관위치에 있을 때 피트의 모든 대피 공간이 유지되어야 한다.</t>
    <phoneticPr fontId="1" type="noConversion"/>
  </si>
  <si>
    <t>기계류 공간 출입 통로</t>
    <phoneticPr fontId="1" type="noConversion"/>
  </si>
  <si>
    <r>
      <t>3.1.5(9) 기계실로 가는 복도</t>
    </r>
    <r>
      <rPr>
        <sz val="11"/>
        <color theme="1"/>
        <rFont val="Tahoma"/>
        <family val="2"/>
        <charset val="1"/>
      </rPr>
      <t>․</t>
    </r>
    <r>
      <rPr>
        <sz val="11"/>
        <color theme="1"/>
        <rFont val="맑은 고딕"/>
        <family val="2"/>
        <charset val="129"/>
        <scheme val="minor"/>
      </rPr>
      <t>계단 및 출입문 등은 다음 각항의 기준에 적합하여야 한다. 
② 계단은 불연재료로 설치하여야 하고, 발판</t>
    </r>
    <r>
      <rPr>
        <sz val="11"/>
        <color theme="1"/>
        <rFont val="Tahoma"/>
        <family val="2"/>
        <charset val="1"/>
      </rPr>
      <t>․</t>
    </r>
    <r>
      <rPr>
        <sz val="11"/>
        <color theme="1"/>
        <rFont val="맑은 고딕"/>
        <family val="2"/>
        <charset val="129"/>
        <scheme val="minor"/>
      </rPr>
      <t>난간 및 경사가 있어야 한다. 다만, 위의 조건을 만족하는 사다리(원형사다리 포함)는 계단으로 간주할 수 있으며, 기계실 바닥까지의 높이가 1.5m 미만인 경우에는 수직사다리를 설치할 수 있다. 또한, 기계실 바닥의 높이차가 45㎝를 초과하는 경우에도 계단 또는 사다리를 설치하여야 한다.
 [유압식]
 4.2.1(1) 기계실의 구조 및 설비
② 기계실 출입구 외부 가까이 소화기 또는 소화용 모래가 보기 쉬운 위치에 놓여 있어야 한다.</t>
    </r>
    <phoneticPr fontId="1" type="noConversion"/>
  </si>
  <si>
    <r>
      <t>3.1.5(9) 기계실로 가는 복도</t>
    </r>
    <r>
      <rPr>
        <sz val="11"/>
        <color theme="1"/>
        <rFont val="Tahoma"/>
        <family val="2"/>
        <charset val="1"/>
      </rPr>
      <t>․</t>
    </r>
    <r>
      <rPr>
        <sz val="11"/>
        <color theme="1"/>
        <rFont val="맑은 고딕"/>
        <family val="2"/>
        <charset val="129"/>
        <scheme val="minor"/>
      </rPr>
      <t>계단 및 출입문 등은 다음 각항의 기준에 적합하여야 한다. 
② 계단은 불연재료로 설치하여야 하고, 발판</t>
    </r>
    <r>
      <rPr>
        <sz val="11"/>
        <color theme="1"/>
        <rFont val="Tahoma"/>
        <family val="2"/>
        <charset val="1"/>
      </rPr>
      <t>․</t>
    </r>
    <r>
      <rPr>
        <sz val="11"/>
        <color theme="1"/>
        <rFont val="맑은 고딕"/>
        <family val="2"/>
        <charset val="129"/>
        <scheme val="minor"/>
      </rPr>
      <t>난간 및 경사가 있어야 하며, 계단의 폭은 0.7m 이상이여야 한다. 다만, 위의 조건을 만족하는 사다리(원형사다리 포함)는 계단으로 간주할 수 있으며, 기계실 바닥까지의 높이가 1.5m 미만인 경우에는 수직사다리를 설치할 수 있다. 또한, 기계실 바닥의 높이차가 45㎝를 초과하는 경우에도 계단 또는 사다리를 설치하여야 한다
[유압식]
 4.2.1(1) 기계실의 구조 및 설비
② 기계실 출입구 외부 가까이 소화기 또는 소화용 모래가 보기 쉬운 위치에 놓여 있어야 한다.</t>
    </r>
    <phoneticPr fontId="1" type="noConversion"/>
  </si>
  <si>
    <t>6.2.2 구동기 공간 및 풀리 공간에 사람이 안전하게 출입할 수 있는 계단 등의 통로가 있어야 한다. 계단을 포함한 통로는 출입문의 폭과 높이 이상이어야 하며, 계단에는 높이 0.85 m 이상의 견고한 난간이 설치되어야 한다. 계단의 설치가 불가능한 경우에는 다음 사항에 적합한 사다리가 사용되어야 한다. 다만, 사다리를 설치할 수 있는 수직높이는 4 m 이하이다. 
 가) 사다리는 영구적으로 설치되어야 한다. 
 나) 출입문까지 수직 높이가 1.5 m를 초과하는 경우에 설치하는 사다리는 수평면에 대해 65°와 75° 사이의 각도로 설치되고 쉽게 미끄러지거나 전도되지 않아야 한다. 다만, 수직높이가 1.5 m 미만의 경우에는 수직 사다리를 설치할 수 있다. 
 다) 사다리의 폭은 0.35 m 이상이어야 하고, 발판의 깊이는 25 mm 이상이어야 한다. 수직 사다리의 경우 발판과 벽 사이의 거리는 0.15 m 이상이어야 한다. 사다리의 발판은 1,500 N의 하중을 견디도록 설계되어야 한다. 
 라) 수평거리로 1.5 m 이내의 사다리 주위는 낙하 물로부터 보호되어야 한다.
 [유압식]
 6.2.3 소화기 또는 소화용 모래가 구동기 공간 출입문 가까이 보기 쉬운 위치에 있어야 한다.</t>
    <phoneticPr fontId="1" type="noConversion"/>
  </si>
  <si>
    <t>6.2.2 구동기 공간 및 풀리 공간에 사람이 안전하게 출입할 수 있는 계단 등의 통로가 있어야 한다. 계단을 포함한 통로는 출입문의 폭과 높이 이상이어야 하며, 계단에는 높이 0.85 m 이상의 견고한 난간이 설치되어야 한다.
계단의 설치가 불가능한 경우에는 다음 사항에 적합한 사다리가 사용되어야 한다. 다만, 사다리를 설치할 수 있는 수직높이는 4 m 이하이다.
가) 사다리는 영구적으로 설치되어야 한다. 
나) 출입문까지 수직 높이가 1.5 m를 초과하는 경우에 설치하는 사다리는 수평면에 대해 65°와 75° 사이의 각도로 설치되고 쉽게 미끄러지거나 전도되지 않아야 한다. 다만, 수직높이가 1.5 m 미만의 경우에는 수직 사다리를 설치할 수 있다.
다) 사다리의 폭은 0.35 m 이상이어야 하고, 발판의 깊이는 25 mm 이상이어야 한다. 수직 사다리의 경우 발판과 벽 사이의 거리는 0.15 m 이상이어야 한다.
 사다리의 발판은 1,500 N의 하중을 견디도록 설계되어야 한다.
라) 수평거리로 1.5 m 이내의 사다리 주위는 사다리 높이이상까지 추락의 위험으로부터 보호되어야 한다.
 [유압식]
 6.2.3 소화기 또는 소화용 모래가 구동기 공간 출입문 가까이 보기 쉬운 위치에 있어야 한다.</t>
    <phoneticPr fontId="1" type="noConversion"/>
  </si>
  <si>
    <r>
      <t>3.1.5(9) 기계실로 가는 복도</t>
    </r>
    <r>
      <rPr>
        <sz val="11"/>
        <color theme="1"/>
        <rFont val="Tahoma"/>
        <family val="2"/>
        <charset val="1"/>
      </rPr>
      <t>․</t>
    </r>
    <r>
      <rPr>
        <sz val="11"/>
        <color theme="1"/>
        <rFont val="맑은 고딕"/>
        <family val="2"/>
        <charset val="129"/>
        <scheme val="minor"/>
      </rPr>
      <t>계단 및 출입문 등은 다음 각항의 기준에 적합하여야 한다. 
③ 출입문은 보수관리 및 방재를 고려하여 잠금장치가 있는 금속제 문을 설치하여야 하고, 폭은 0.7m 이상, 높이는 1.8m 이상으로하여야 하며, 출입문이 외기에 접하는 경우에는 빗물이 침입하지 않는 구조로 하여야 하고, 부식이 없어야 한다.</t>
    </r>
    <phoneticPr fontId="1" type="noConversion"/>
  </si>
  <si>
    <r>
      <t>3.1.5(9) 기계실로 가는 복도</t>
    </r>
    <r>
      <rPr>
        <sz val="11"/>
        <color theme="1"/>
        <rFont val="Tahoma"/>
        <family val="2"/>
        <charset val="1"/>
      </rPr>
      <t>․</t>
    </r>
    <r>
      <rPr>
        <sz val="11"/>
        <color theme="1"/>
        <rFont val="맑은 고딕"/>
        <family val="2"/>
        <charset val="129"/>
        <scheme val="minor"/>
      </rPr>
      <t>계단 및 출입문 등은 다음 각항의 기준에 적합하여야 한다. 
③ 출입문은 보수관리 및 방재를 고려하여 잠금장치가 있는 금속제 문을 설치하여야 하고, 유효 개구부의폭 0.7m 이상, 유효
개구부의 높이 1.8m 이상으로 하여야 하며, 출입문이 외기에 접하는 경우에는 빗물이 침입하지 않는 구조로 하여야 하고, 부식이 없어야 한다.</t>
    </r>
    <phoneticPr fontId="1" type="noConversion"/>
  </si>
  <si>
    <t>5.2.2.1 승강로의 점검문 및 비상문은 이용자의 안전 또는 유지보수를 위한 용도 외에는 사용되지 않아야 한다.
 &lt;2019. 3. 28. 삭제&gt;
 5.2.2.1.1 점검문은 폭 0.6 m 이상, 높이 1.4 m 이상이어야 한다. 다만, 트랩 방식의 문일 경우에는 폭 0.5 m 이하, 높이 0.5 m 이하이어야 한다. 비상문은 폭 0.35 m 이상, 높이 1.8 m 이상이어야 한다.
 &lt;2019. 3. 28. 삭제&gt;
 6.3.4.1 출입문은 폭 0.7 m 이상, 높이 1.8 m 이상의 금속제 문이어야 하며 기계실 외부로 완전히 열리는 구조이어야 한다. 기계실 내부로는 열리지 않아야 한다.
 6.4.7.1 승강로 내부의 작업구역은 승강로 벽을 통해 접근할 수 있어야 한다. 문은 승강장문 또는 다음 사항을 만족하는 문이어야 한다.
 가) 폭은 0.6 m 이상, 높이는 1.8 m 이상이어야 한다.
 6.4.7.2 승강로 외부의 작업구역에서 승강로 내부의 구동기 공간에 출입은 다음과 같아야 한다. 
가) 문을 통해 요구된 작업을 수행할 수 있는 충분한 크기를 가져야 한다.</t>
    <phoneticPr fontId="1" type="noConversion"/>
  </si>
  <si>
    <t>로프식]
 3.1.3(11) 피트 바닥하부는 거실 또는 여러사람이 출입하는 통로 등으로 사용하지 않아야 한다. 다만, 피트 바닥하부를 거실 
또는 여러사람이 출입하는 통로 등으로 사용할 경우에는 피트 바닥을 2중슬라브로 하고, 균형추쪽에도 비상정지장치를 설치하거나 균형추쪽 직하부에 두꺼운 벽을 설치하여야 한다.
 [유압식]
 3.2.2(2) 피트 바닥하부는 거실 또는 여러사람이 출입하는 통로 등으로 사용하지 않아야 한다. 다만, 피트 바닥하부를 거실 등으로 사용할 경우에는 피트 바닥을 2중슬라브로 하여야 한다</t>
    <phoneticPr fontId="1" type="noConversion"/>
  </si>
  <si>
    <t>5.5 카, 균형추 또는 평형추 하부에 위치한 공간의 보호   
카, 균형추 또는 평형추 하부에 위치한 공간의 보호 카, 균형추 또는 평형추 하부에 접근할 수 있는 공간이 있는 경우, 피트의 기초는 5,000 N/㎡ 이상의 부하가 걸리는 것으로 설계되어야 하고, 다음 중 어느 하나에 적합하여야 한다. 
가) 균형추 완충기 또는 평형추 주행구간 직하부에 견고한 벽이 단단한 지면까지 연장되도록 설치되어야 한다.  
나) 균형추 또는 평형추에 비상정지장치가 설치되어야 한다. 비고 엘리베이터 승강로는 사람이 접근할 수 있는 공간 위에 위치하지 않는 것이 바람직하다.</t>
    <phoneticPr fontId="1" type="noConversion"/>
  </si>
  <si>
    <t>5.5 승강로 하부에 위치한 공간의 보호
승강로 하부에 접근할 수 있는 공간이 있는 경우, 피트의 기초는 5,000 N/㎡ 이상의 부하가 걸리는 것으로 설계되어야 하고, 균형추 또는 평형추에 비상정지장치가 설치되어야 한다.
비고 1. 접근할 수 있는 공간이란 피트바닥 직하부에 사람이 상주하는 공간 또는 상시 출입하는 통로 등을 말한다.
       2. 엘리베이터 승강로는 사람이 접근할 수 있는 공간 위에 위치하지 않는 것이 바람직하다.</t>
    <phoneticPr fontId="1" type="noConversion"/>
  </si>
  <si>
    <t>패널 조도</t>
    <phoneticPr fontId="1" type="noConversion"/>
  </si>
  <si>
    <t>6.6.3 패널에 설치되어 있는 장치를 50 lx 이상으로 비출 수 있는 영구적인 전기 조명이 설치되어야 한다. 패널 위 또는 근처에 설치된 스위치는 패널의 조명을 점멸할 수 있어야 한다. 이 조명의 전원공급은 13.6.1에 적합하여야 한다</t>
    <phoneticPr fontId="1" type="noConversion"/>
  </si>
  <si>
    <t>3.1.6(2) 카가 정지하고 있지 않은 층에서는 특수한 키를 사용하지 않으면 밖에서 승강로의 출입문을 열 수 없도록 하는 장치를
설치하여야 하며, 승강장 출입문을 개방하기 위한 장치는 그림 4에 규정된 삼각형의 잠금해제장치의 규격에 적합하여야
한다. 또한, 특수한 키에는 사용상의 위험과 승강장문이 닫힌 후 문의 잠금여부를 확인해야 하는 등의 주의사항이 
표시되어야 한다.
4.1.5(14) 카가 정지하고 있지 않은 층에서 승강로의 출입문을 열수 있는 특수한 키에는 사용상의 위험과 승강장문이 닫힌 후
문의 잠금여부를 확인해야 하는 등의 주의사항이 표시되어야 한다.</t>
    <phoneticPr fontId="1" type="noConversion"/>
  </si>
  <si>
    <t>7.9.3</t>
    <phoneticPr fontId="1" type="noConversion"/>
  </si>
  <si>
    <t>삼각키 사용</t>
    <phoneticPr fontId="1" type="noConversion"/>
  </si>
  <si>
    <t>7.15.2</t>
    <phoneticPr fontId="1" type="noConversion"/>
  </si>
  <si>
    <t>카문의 개방</t>
    <phoneticPr fontId="1" type="noConversion"/>
  </si>
  <si>
    <t>나) 카가 7.8.1에 따른 잠금해제구간 밖에 있을 때, 카문은 1,000 N의 힘으로 50 ㎜ 이상 열리지 않아야 하며, 자동 동력 작동 상태에서도 문은 열리지 않아야 한다.</t>
    <phoneticPr fontId="1" type="noConversion"/>
  </si>
  <si>
    <t>7.16 자동차 진입방지장치
자동차용 엘리베이터에는 카가 도착하지 않은 층의 자동차 진입을 자동으로 방지하는 장치(이하 “자동차 진입방지장치”라 한다)를 설치하여야 하며, 자동차 진입방지장치는 다음을 만족하여야 한다.
가) 시속 5킬로미터의 주행속도로 진입하는 중량 2,200 kg의 자동차가 자동차 진입방지장치를 넘어가지 않고, 이에 따른 충격에 견디는 강도를 가질 것
나) 카가 도착한 층에서 승강장 문이 자동으로 열린 경우, 자동차 진입방지장치가 자동차의 운행을 방해하지 않을 것
다) 자동차 진입방지장치의 기능과 강도는 공인기관의 시험에 합격한 제품일 것
비고 자동차의 중량은 「기계식주차장치의 안전기준 및 검사기준 등에 관한 규정」 제9조(자동차의 중량) 대형 기계식주차장 기준을 따름</t>
    <phoneticPr fontId="1" type="noConversion"/>
  </si>
  <si>
    <t>자동차 진입방지장치</t>
    <phoneticPr fontId="1" type="noConversion"/>
  </si>
  <si>
    <t>에이프런</t>
    <phoneticPr fontId="1" type="noConversion"/>
  </si>
  <si>
    <t>4.1.5(7) 승객용, 침대용, 승객․화물용, 비상용, 장애인용 및 전망용 엘리베이터에 설치되는 보호판은 다음 기준에 적합하여야 한다.
 ① 카 바닥 앞부분의 아랫방향으로 출입구의 전폭에 걸쳐 수직높이가 540㎜ 이상인 보호판이 견고하게 설치되어 있어야 한다.</t>
    <phoneticPr fontId="1" type="noConversion"/>
  </si>
  <si>
    <t>8.5.2</t>
    <phoneticPr fontId="1" type="noConversion"/>
  </si>
  <si>
    <t>8.4.2 수직 부분의 높이는 0.75 m 이상이어야 한다
8.4.3 도킹 운전(14.2.1.5)이 있는 엘리베이터의 경우, 카가 가장 높은 곳에서 타거나 내리는 위치(또는 하역하는 위치)에 있을 때, 수직부분의 높이는 승강장 문턱 아래로 0.1 m 이상 연장되어야 한다.</t>
    <phoneticPr fontId="1" type="noConversion"/>
  </si>
  <si>
    <t>카 천장 비상구출문</t>
    <phoneticPr fontId="1" type="noConversion"/>
  </si>
  <si>
    <t>8.6.1</t>
    <phoneticPr fontId="1" type="noConversion"/>
  </si>
  <si>
    <t>3.1.2(4) 비상시 외부에서 구출할 수 있는 비상구출구는 다음 각항의 기준에 적합하여야 한다. 다만, 자동차용 엘리베이터와 카 내에 조작반이 없는 화물용 엘리베이터의 경우에는 그러하지 아니하다.
① 카 천장에 설치된 비상구출구는 카 위에서는 공구 등을 사용하지 않고 간단한 조작에 의해 쉽게 열 수 있어야 하나, 카 내에서는 열 수 없도록 잠금장치를 갖추어야 하며, 승객의 구출활동에 장애가 없도록 충분한 공간이 확보되는 위치에 설치하고, 크기는 작은쪽 변의 길이가 0.4m 이상,  면적은 0.2㎡ 이상으로 하여야 한다.</t>
    <phoneticPr fontId="1" type="noConversion"/>
  </si>
  <si>
    <t>8.12.1 12.5에서 기술된 비상구출 운전 시, 카 내 승객의 구출은 항상 카 밖에서 이루어져야 한다.
8.12.2 승객의 구출 및 구조를 위한 비상구출문이 카 천장에 있는 경우, 비상구출구의 크기는 0.35 m × 0.5 m 이상이어야 한다.
8.12.4 비상구출문은 8.3.2 및 8.3.3에 적합하여야 한다. 또한, 다음 사항에 적합하여야 한다.</t>
    <phoneticPr fontId="1" type="noConversion"/>
  </si>
  <si>
    <t>8.13 카 지붕
8.3에 추가하여, 카 지붕은 다음 사항을 만족하여야 한다.
8.13.1 카 지붕은 어떤 위치에서든지 0.2 m × 0.2 m의 면적에 1000 N으로 각각 계산한 두 사람의 무게를 영구적인 변형 없이 견딜 수 있어야 한다.
8.13.2 카 지붕은 사람이 서 있을 수 있는 0.12 ㎡ 이상의 유효 면적이 확보되어야 하고, 작은 변의 길이는 0.25 m 이상이어야 한다</t>
    <phoneticPr fontId="1" type="noConversion"/>
  </si>
  <si>
    <t>8.7.1</t>
    <phoneticPr fontId="1" type="noConversion"/>
  </si>
  <si>
    <t>카 지붕 보호난간</t>
    <phoneticPr fontId="1" type="noConversion"/>
  </si>
  <si>
    <t>카 지붕 강도</t>
    <phoneticPr fontId="1" type="noConversion"/>
  </si>
  <si>
    <t>4.1.3(20) 카 위의 출입구를 제외한 전둘레에는 카 위 바닥면에서 수직높이가 60㎝ 이상인 보호난간이 견고하게 설치되어 있어야 한다</t>
    <phoneticPr fontId="1" type="noConversion"/>
  </si>
  <si>
    <t>8.7.4</t>
    <phoneticPr fontId="1" type="noConversion"/>
  </si>
  <si>
    <t>8.13.3.1 보호난간은 손잡이, 높이 0.1 m의 발 보호판 및 보호난간의 1/2 높이 지점의 중간봉으로 구성되어야 한다.
8.13.3.2 보호난간의 손잡이 바깥쪽 끝 면과 승강로 벽 사이의 수평거리를 고려하여 보호난간의 높이는 다음과 같아야 한다.
 가) 수평거리가 0.3 m를 초과하고 0.85 m 이하인 경우 : 0.7 m 이상 
 나) 수평거리가 0.85 m를 초과하는 경우 : 1.1 m 이상
8.13.3.4 출입구 측에 있는 보호난간은 카 지붕으로 안전하고 쉽게 접근할 수 있도록 조치되어야 한다.
8.13.3.5 보호난간은 카 지붕 가장자리에서 0.15 m 이내에 있어야 한다.
8.13.3.3 손잡이의 바깥쪽 모서리와 승강로의 어떤 부품(균형추 또는 평형추, 스위치, 레일, 브라켓 등) 사이의 수평거리는 0.1 m 이상이어야 한다.
8.13.4 난간에 기대는 위험에 대한 경고표시 또는 주의 문이 보호난간의 적절한 위치에 부착되어야 한다.</t>
    <phoneticPr fontId="1" type="noConversion"/>
  </si>
  <si>
    <t>8.13.3.1 보호난간은 손잡이 및 보호난간의 1/2 높이 지점의 중간봉으로 구성되어야 한다.
8.13.3.2 보호난간의 손잡이 바깥쪽 끝 면과 승강로 벽 사이의 수평거리를 고려하여 보호난간의 높이는 다음과 같아야 한다.
 가) 수평거리가 0.3 m를 초과하고 0.5 m 이하인 경우 : 0.7 m 이상
 나) 수평거리가 0.5 m를 초과하는 경우 : 1.1 m 이상
8.13.3.4 출입구 측에 있는 보호난간은 카 지붕으로 안전하고 쉽게 접근할 수 있도록 조치되어야 한다.
8.13.3.5 발보호판 및 보호난간은 카 지붕 가장자리에서 0.15 m 이내에 있어야 한다.
8.13.3.3 손잡이의 바깥쪽 모서리와 승강로의 어떤 부품(균형추 또는 평형추, 스위치, 레일, 브라켓 등) 사이의 수평거리는 0.1 m 이상이어야 한다.
8.13.4 난간에 기대는 위험에 대한 경고표시 또는 주의 문이 보호난간의 적절한 위치에 부착되어야 한다.</t>
    <phoneticPr fontId="1" type="noConversion"/>
  </si>
  <si>
    <t>카 조명</t>
    <phoneticPr fontId="1" type="noConversion"/>
  </si>
  <si>
    <t>8.10.1</t>
    <phoneticPr fontId="1" type="noConversion"/>
  </si>
  <si>
    <t>8.17.1 카에는 카 바닥 및 조작 장치를 50 lx 이상의 조도로 비출 수 있는 영구적인 전기조명이 설치되어야 한다</t>
    <phoneticPr fontId="1" type="noConversion"/>
  </si>
  <si>
    <t>9.7.1</t>
    <phoneticPr fontId="1" type="noConversion"/>
  </si>
  <si>
    <t>도르래 보호 수단</t>
    <phoneticPr fontId="1" type="noConversion"/>
  </si>
  <si>
    <t>4.1.1(3) 전동기․제동기 및 권상기
⑥ 도르레 또는 권동에는 사람의 손․물건 등이 끼이지 않도록 보호망 등이 설치되어 있어야 한다</t>
    <phoneticPr fontId="1" type="noConversion"/>
  </si>
  <si>
    <t>9.7.1 권상도르래, 풀리 및 스프라켓에 대해, 다음과 같은 위험을 방지하기 위해 표 2에 따라야 한다.
가) 인체의 부상
나) 로프/체인이 느슨해질 경우, 로프/체인이 풀리/스프라켓에서 벗어남
다) 로프와 풀리/체인과 스프라켓 사이에 물체의 유입</t>
    <phoneticPr fontId="1" type="noConversion"/>
  </si>
  <si>
    <t>문열림출발방지장치</t>
    <phoneticPr fontId="1" type="noConversion"/>
  </si>
  <si>
    <t>10.7.5</t>
    <phoneticPr fontId="1" type="noConversion"/>
  </si>
  <si>
    <t>[로프식]
4.1.1(3) 전동기․제동기 및 권상기
 ⑦ 카가 상승방향으로 과속하는 것을 방지하고, 착상구간에 정지한 경우 제어시스템 또는 브레이크에 이상이 발생하여 승강장 문이 열린 채 제어할 수 없는 동작을 일으키는 것을 방지하는 장치의 설치상태는 견고하고, 작동상태는 양호하여야 하며, 카가 승강장에서 1,200mm를 이동하기 전에 통제 불능한 이동을 감지하여 카를 완전히 정지시켜야 한다. 비상용 엘리베이터에 적용한 경우 2차 소방운전시에는 이 장치의 동작을 정지시킬 수 있어야 한다. 다만, 화물용, 자동차용 엘리베이터는 제외한다.
&lt; 2003년 6월 18일 이후 건축허가분부터 적용, 건축법시행령 제5조제4항제3호에 해당하는 다중이용건축물의 승강기는 2000년 10월 1일 이후 건축허가분부터 적용 &gt;</t>
    <phoneticPr fontId="1" type="noConversion"/>
  </si>
  <si>
    <t>16.1.12</t>
    <phoneticPr fontId="1" type="noConversion"/>
  </si>
  <si>
    <t>지진관제운전</t>
    <phoneticPr fontId="1" type="noConversion"/>
  </si>
  <si>
    <t>장애인용 엘리베이터 10초 대기</t>
    <phoneticPr fontId="1" type="noConversion"/>
  </si>
  <si>
    <t>17.1.5.4</t>
    <phoneticPr fontId="1" type="noConversion"/>
  </si>
  <si>
    <t>4.1.2(16) 장애인용 엘리베이터의 경우 호출버튼 또는 등록버튼에 의하여 카가 정지하면 10초 이상 문이 열린 채로 대기하여야 한다.</t>
    <phoneticPr fontId="1" type="noConversion"/>
  </si>
  <si>
    <t>엘리베이터 내부의 유효바닥 면적은 폭 1.1m이상, 깊이 1.35m이상으로 하여야 한다.</t>
    <phoneticPr fontId="1" type="noConversion"/>
  </si>
  <si>
    <t>17.1.3.1</t>
    <phoneticPr fontId="1" type="noConversion"/>
  </si>
  <si>
    <t>rated_speed</t>
    <phoneticPr fontId="1" type="noConversion"/>
  </si>
  <si>
    <t>m</t>
    <phoneticPr fontId="1" type="noConversion"/>
  </si>
  <si>
    <t>최대정원</t>
    <phoneticPr fontId="1" type="noConversion"/>
  </si>
  <si>
    <t>인승</t>
    <phoneticPr fontId="1" type="noConversion"/>
  </si>
  <si>
    <t>매다는 장치 마모율</t>
    <phoneticPr fontId="1" type="noConversion"/>
  </si>
  <si>
    <t>suspension_thickness_meas</t>
    <phoneticPr fontId="1" type="noConversion"/>
  </si>
  <si>
    <t>suspension_wear rate</t>
    <phoneticPr fontId="1" type="noConversion"/>
  </si>
  <si>
    <t>%</t>
    <phoneticPr fontId="1" type="noConversion"/>
  </si>
  <si>
    <t>cwt_rail_extension</t>
    <phoneticPr fontId="1" type="noConversion"/>
  </si>
  <si>
    <t>기준적용일</t>
    <phoneticPr fontId="1" type="noConversion"/>
  </si>
  <si>
    <t>기준적용일</t>
    <phoneticPr fontId="1" type="noConversion"/>
  </si>
  <si>
    <t>Standard application date</t>
    <phoneticPr fontId="1" type="noConversion"/>
  </si>
  <si>
    <t>입력값</t>
    <phoneticPr fontId="1" type="noConversion"/>
  </si>
  <si>
    <t>적합여부</t>
    <phoneticPr fontId="1" type="noConversion"/>
  </si>
  <si>
    <t>무, 유</t>
    <phoneticPr fontId="1" type="noConversion"/>
  </si>
  <si>
    <t>체결, 압착링, 스웨이지, 기타</t>
    <phoneticPr fontId="1" type="noConversion"/>
  </si>
  <si>
    <t>권상구동식, 권동식, 유압식</t>
    <phoneticPr fontId="1" type="noConversion"/>
  </si>
  <si>
    <t>동력문, 반자동 동력, 수동</t>
    <phoneticPr fontId="1" type="noConversion"/>
  </si>
  <si>
    <t>자가, 해당없음</t>
    <phoneticPr fontId="1" type="noConversion"/>
  </si>
  <si>
    <t>밀폐식, 반밀폐식</t>
    <phoneticPr fontId="1" type="noConversion"/>
  </si>
  <si>
    <t>완충기 행정(카 측)</t>
    <phoneticPr fontId="1" type="noConversion"/>
  </si>
  <si>
    <t>카 완충기 거리</t>
    <phoneticPr fontId="1" type="noConversion"/>
  </si>
  <si>
    <t>장애인용 카치수(폭)</t>
    <phoneticPr fontId="1" type="noConversion"/>
  </si>
  <si>
    <t>장애인용 카치수(안길이)</t>
    <phoneticPr fontId="1" type="noConversion"/>
  </si>
  <si>
    <t>m</t>
    <phoneticPr fontId="1" type="noConversion"/>
  </si>
  <si>
    <t>m</t>
    <phoneticPr fontId="1" type="noConversion"/>
  </si>
  <si>
    <t>장애인용 엘리베이터 면적</t>
    <phoneticPr fontId="1" type="noConversion"/>
  </si>
  <si>
    <t>16.1.12 지진관제운전
  엘리베이터에 지진을 감지하는 전용 수단(지진감지기 등)이 있는 경우, 정상 운행 중에 지진이 감지되면 자동으로 카를 가장 가까운 승강장으로 운행시키고 다음 사항을 만족해야 한다.
  가) 지진감지기가 작동된 경우 카 내 탑승객에게 해당 상황을 알려주는 시각적 및 청각적장치가 제공되어야 한다.
  나) 카가 승강장에 도착하면 승강장문 및 카문이 자동으로 열려야 한다.
  다) 승객이 안전하게 빠져나가면(10초 이상) 승강장문 및 카문은 자동으로 닫히고 이후 정지상태가 유지되어야 한다. 이 경우 카 내부 열림 버튼은 유효하여야 하며, 승강장호출 버튼의 작동은 무효화 되어야 한다.
  라) 지진감지기가 S파를 감지한 경우 정상 운행으로의 복귀는 전문가(유지관리업체, 제조·수입업체의 기술인력 등을 말한다)의 입회하에 이루어져야 한다.
  마) 작동시험을 위한 장치는 6.6.6에 따라 제공되어야 한다.
  바) 소방운전 및 피난운전 중 지진(P파)이 감지된 경우 해당 운전제어의 목적층 운행 후 지진관제운전이 이루어져야 한다. 다만, 지진관제운전 중 소방운전 및 피난운전의 전환은 지진관제운전에 영향을 주지 않아야 한다.
  비고 엘리베이터 전용 지진감지기는 건축법 제2조에 따른 고층건축물의 승객이 탑승하는 엘리베이터에 한정하여 설치를 권장한다.</t>
    <phoneticPr fontId="1" type="noConversion"/>
  </si>
  <si>
    <t>기준내용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</si>
</sst>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scheme val="minor"/>
    </font>
    <font>
      <sz val="11"/>
      <color theme="1"/>
      <name val="Tahoma"/>
      <family val="2"/>
      <charset val="1"/>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4" fillId="0" borderId="0" xfId="1"/>
    <xf numFmtId="2" fontId="0" fillId="0" borderId="0" xfId="0" applyNumberFormat="1">
      <alignment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
  <sheetViews>
    <sheetView workbookViewId="0">
      <selection activeCell="C79" sqref="C79"/>
    </sheetView>
  </sheetViews>
  <sheetFormatPr defaultRowHeight="17.399999999999999" x14ac:dyDescent="0.4"/>
  <cols>
    <col min="1" max="1" width="68.296875" bestFit="1" customWidth="1"/>
    <col min="2" max="2" width="34.59765625" bestFit="1" customWidth="1"/>
    <col min="3" max="3" width="39.09765625" bestFit="1" customWidth="1"/>
    <col min="4" max="4" width="5.5" bestFit="1" customWidth="1"/>
  </cols>
  <sheetData>
    <row r="1" spans="1:4" x14ac:dyDescent="0.4">
      <c r="A1" t="s">
        <v>429</v>
      </c>
      <c r="B1" t="s">
        <v>1</v>
      </c>
      <c r="C1" t="s">
        <v>430</v>
      </c>
      <c r="D1" t="s">
        <v>431</v>
      </c>
    </row>
    <row r="2" spans="1:4" x14ac:dyDescent="0.4">
      <c r="A2" t="s">
        <v>804</v>
      </c>
      <c r="B2" t="s">
        <v>806</v>
      </c>
    </row>
    <row r="3" spans="1:4" x14ac:dyDescent="0.4">
      <c r="A3" t="s">
        <v>633</v>
      </c>
      <c r="B3" s="4" t="s">
        <v>634</v>
      </c>
      <c r="D3" t="s">
        <v>432</v>
      </c>
    </row>
    <row r="4" spans="1:4" x14ac:dyDescent="0.4">
      <c r="A4" t="s">
        <v>433</v>
      </c>
      <c r="B4" s="4" t="s">
        <v>635</v>
      </c>
      <c r="D4" t="s">
        <v>434</v>
      </c>
    </row>
    <row r="5" spans="1:4" x14ac:dyDescent="0.4">
      <c r="A5" t="s">
        <v>435</v>
      </c>
      <c r="B5" s="4" t="s">
        <v>795</v>
      </c>
      <c r="D5" t="s">
        <v>436</v>
      </c>
    </row>
    <row r="6" spans="1:4" x14ac:dyDescent="0.4">
      <c r="A6" t="s">
        <v>437</v>
      </c>
      <c r="B6" s="4" t="s">
        <v>638</v>
      </c>
      <c r="D6" t="s">
        <v>438</v>
      </c>
    </row>
    <row r="7" spans="1:4" x14ac:dyDescent="0.4">
      <c r="A7" t="s">
        <v>439</v>
      </c>
      <c r="B7" s="4" t="s">
        <v>636</v>
      </c>
      <c r="D7" t="s">
        <v>440</v>
      </c>
    </row>
    <row r="8" spans="1:4" x14ac:dyDescent="0.4">
      <c r="A8" t="s">
        <v>441</v>
      </c>
      <c r="B8" s="4" t="s">
        <v>637</v>
      </c>
      <c r="D8" t="s">
        <v>442</v>
      </c>
    </row>
    <row r="9" spans="1:4" x14ac:dyDescent="0.4">
      <c r="A9" t="s">
        <v>443</v>
      </c>
      <c r="B9" s="4" t="s">
        <v>639</v>
      </c>
      <c r="D9" t="s">
        <v>796</v>
      </c>
    </row>
    <row r="10" spans="1:4" x14ac:dyDescent="0.4">
      <c r="A10" t="s">
        <v>445</v>
      </c>
      <c r="B10" s="4" t="s">
        <v>640</v>
      </c>
      <c r="D10" t="s">
        <v>796</v>
      </c>
    </row>
    <row r="11" spans="1:4" x14ac:dyDescent="0.4">
      <c r="A11" t="s">
        <v>446</v>
      </c>
      <c r="B11" s="4" t="s">
        <v>641</v>
      </c>
      <c r="D11" t="s">
        <v>491</v>
      </c>
    </row>
    <row r="12" spans="1:4" x14ac:dyDescent="0.4">
      <c r="A12" t="s">
        <v>448</v>
      </c>
      <c r="B12" s="4" t="s">
        <v>642</v>
      </c>
      <c r="D12" t="s">
        <v>796</v>
      </c>
    </row>
    <row r="13" spans="1:4" x14ac:dyDescent="0.4">
      <c r="A13" t="s">
        <v>449</v>
      </c>
      <c r="B13" s="4" t="s">
        <v>643</v>
      </c>
      <c r="D13" t="s">
        <v>444</v>
      </c>
    </row>
    <row r="14" spans="1:4" x14ac:dyDescent="0.4">
      <c r="A14" t="s">
        <v>450</v>
      </c>
      <c r="B14" s="4" t="s">
        <v>644</v>
      </c>
      <c r="D14" t="s">
        <v>451</v>
      </c>
    </row>
    <row r="15" spans="1:4" x14ac:dyDescent="0.4">
      <c r="A15" t="s">
        <v>452</v>
      </c>
      <c r="B15" s="4" t="s">
        <v>645</v>
      </c>
      <c r="D15" t="s">
        <v>453</v>
      </c>
    </row>
    <row r="16" spans="1:4" x14ac:dyDescent="0.4">
      <c r="A16" t="s">
        <v>454</v>
      </c>
      <c r="B16" s="4" t="s">
        <v>646</v>
      </c>
      <c r="D16" t="s">
        <v>455</v>
      </c>
    </row>
    <row r="17" spans="1:4" x14ac:dyDescent="0.4">
      <c r="A17" t="s">
        <v>456</v>
      </c>
      <c r="B17" s="4" t="s">
        <v>647</v>
      </c>
      <c r="D17" t="s">
        <v>457</v>
      </c>
    </row>
    <row r="18" spans="1:4" x14ac:dyDescent="0.4">
      <c r="A18" t="s">
        <v>458</v>
      </c>
      <c r="B18" s="4" t="s">
        <v>648</v>
      </c>
      <c r="C18" t="s">
        <v>810</v>
      </c>
      <c r="D18" t="s">
        <v>459</v>
      </c>
    </row>
    <row r="19" spans="1:4" x14ac:dyDescent="0.4">
      <c r="A19" t="s">
        <v>460</v>
      </c>
      <c r="B19" s="4" t="s">
        <v>649</v>
      </c>
      <c r="C19" t="s">
        <v>810</v>
      </c>
      <c r="D19" t="s">
        <v>461</v>
      </c>
    </row>
    <row r="20" spans="1:4" x14ac:dyDescent="0.4">
      <c r="A20" t="s">
        <v>462</v>
      </c>
      <c r="B20" s="4" t="s">
        <v>650</v>
      </c>
      <c r="D20" t="s">
        <v>463</v>
      </c>
    </row>
    <row r="21" spans="1:4" x14ac:dyDescent="0.4">
      <c r="A21" t="s">
        <v>464</v>
      </c>
      <c r="B21" s="4" t="s">
        <v>651</v>
      </c>
      <c r="D21" t="s">
        <v>465</v>
      </c>
    </row>
    <row r="22" spans="1:4" x14ac:dyDescent="0.4">
      <c r="A22" t="s">
        <v>466</v>
      </c>
      <c r="B22" s="4" t="s">
        <v>652</v>
      </c>
      <c r="C22" t="s">
        <v>508</v>
      </c>
      <c r="D22" t="s">
        <v>459</v>
      </c>
    </row>
    <row r="23" spans="1:4" x14ac:dyDescent="0.4">
      <c r="A23" t="s">
        <v>467</v>
      </c>
      <c r="B23" s="4" t="s">
        <v>653</v>
      </c>
      <c r="C23" t="s">
        <v>811</v>
      </c>
      <c r="D23" t="s">
        <v>459</v>
      </c>
    </row>
    <row r="24" spans="1:4" x14ac:dyDescent="0.4">
      <c r="A24" t="s">
        <v>468</v>
      </c>
      <c r="B24" s="4" t="s">
        <v>654</v>
      </c>
      <c r="D24" t="s">
        <v>469</v>
      </c>
    </row>
    <row r="25" spans="1:4" x14ac:dyDescent="0.4">
      <c r="A25" t="s">
        <v>472</v>
      </c>
      <c r="B25" s="4" t="s">
        <v>657</v>
      </c>
      <c r="C25" t="s">
        <v>509</v>
      </c>
      <c r="D25" t="s">
        <v>461</v>
      </c>
    </row>
    <row r="26" spans="1:4" x14ac:dyDescent="0.4">
      <c r="A26" t="s">
        <v>473</v>
      </c>
      <c r="B26" s="4" t="s">
        <v>658</v>
      </c>
      <c r="C26" t="s">
        <v>510</v>
      </c>
      <c r="D26" t="s">
        <v>474</v>
      </c>
    </row>
    <row r="27" spans="1:4" x14ac:dyDescent="0.4">
      <c r="A27" t="s">
        <v>475</v>
      </c>
      <c r="B27" s="4" t="s">
        <v>659</v>
      </c>
      <c r="C27" t="s">
        <v>809</v>
      </c>
      <c r="D27" t="s">
        <v>476</v>
      </c>
    </row>
    <row r="28" spans="1:4" x14ac:dyDescent="0.4">
      <c r="A28" t="s">
        <v>477</v>
      </c>
      <c r="B28" s="4" t="s">
        <v>660</v>
      </c>
      <c r="C28" t="s">
        <v>511</v>
      </c>
      <c r="D28" t="s">
        <v>476</v>
      </c>
    </row>
    <row r="29" spans="1:4" x14ac:dyDescent="0.4">
      <c r="A29" t="s">
        <v>478</v>
      </c>
      <c r="B29" s="4" t="s">
        <v>661</v>
      </c>
      <c r="C29" t="s">
        <v>812</v>
      </c>
      <c r="D29" t="s">
        <v>476</v>
      </c>
    </row>
    <row r="30" spans="1:4" x14ac:dyDescent="0.4">
      <c r="A30" t="s">
        <v>479</v>
      </c>
      <c r="B30" s="4" t="s">
        <v>662</v>
      </c>
      <c r="C30" t="s">
        <v>809</v>
      </c>
      <c r="D30" t="s">
        <v>459</v>
      </c>
    </row>
    <row r="31" spans="1:4" x14ac:dyDescent="0.4">
      <c r="A31" t="s">
        <v>480</v>
      </c>
      <c r="B31" s="4" t="s">
        <v>663</v>
      </c>
      <c r="C31" t="s">
        <v>512</v>
      </c>
      <c r="D31" t="s">
        <v>476</v>
      </c>
    </row>
    <row r="32" spans="1:4" x14ac:dyDescent="0.4">
      <c r="A32" t="s">
        <v>481</v>
      </c>
      <c r="B32" s="4" t="s">
        <v>664</v>
      </c>
      <c r="C32" t="s">
        <v>813</v>
      </c>
      <c r="D32" t="s">
        <v>476</v>
      </c>
    </row>
    <row r="33" spans="1:4" x14ac:dyDescent="0.4">
      <c r="A33" t="s">
        <v>482</v>
      </c>
      <c r="B33" s="4" t="s">
        <v>665</v>
      </c>
      <c r="C33" t="s">
        <v>513</v>
      </c>
      <c r="D33" t="s">
        <v>476</v>
      </c>
    </row>
    <row r="34" spans="1:4" x14ac:dyDescent="0.4">
      <c r="A34" t="s">
        <v>483</v>
      </c>
      <c r="B34" s="4" t="s">
        <v>666</v>
      </c>
      <c r="C34" t="s">
        <v>514</v>
      </c>
      <c r="D34" t="s">
        <v>459</v>
      </c>
    </row>
    <row r="35" spans="1:4" x14ac:dyDescent="0.4">
      <c r="A35" t="s">
        <v>484</v>
      </c>
      <c r="B35" s="4" t="s">
        <v>667</v>
      </c>
      <c r="C35" t="s">
        <v>814</v>
      </c>
      <c r="D35" t="s">
        <v>476</v>
      </c>
    </row>
    <row r="36" spans="1:4" x14ac:dyDescent="0.4">
      <c r="A36" t="s">
        <v>485</v>
      </c>
      <c r="B36" s="4" t="s">
        <v>668</v>
      </c>
      <c r="C36" t="s">
        <v>809</v>
      </c>
      <c r="D36" t="s">
        <v>459</v>
      </c>
    </row>
    <row r="37" spans="1:4" x14ac:dyDescent="0.4">
      <c r="A37" t="s">
        <v>486</v>
      </c>
      <c r="B37" s="4" t="s">
        <v>669</v>
      </c>
      <c r="D37" t="s">
        <v>487</v>
      </c>
    </row>
    <row r="38" spans="1:4" x14ac:dyDescent="0.4">
      <c r="A38" t="s">
        <v>488</v>
      </c>
      <c r="B38" s="4" t="s">
        <v>670</v>
      </c>
      <c r="C38" t="s">
        <v>515</v>
      </c>
      <c r="D38" t="s">
        <v>461</v>
      </c>
    </row>
    <row r="39" spans="1:4" x14ac:dyDescent="0.4">
      <c r="A39" t="s">
        <v>489</v>
      </c>
      <c r="B39" s="4" t="s">
        <v>671</v>
      </c>
      <c r="D39" t="s">
        <v>447</v>
      </c>
    </row>
    <row r="40" spans="1:4" x14ac:dyDescent="0.4">
      <c r="A40" t="s">
        <v>815</v>
      </c>
      <c r="B40" s="4" t="s">
        <v>672</v>
      </c>
      <c r="D40" t="s">
        <v>447</v>
      </c>
    </row>
    <row r="41" spans="1:4" x14ac:dyDescent="0.4">
      <c r="A41" t="s">
        <v>816</v>
      </c>
      <c r="B41" s="4" t="s">
        <v>681</v>
      </c>
      <c r="D41" t="s">
        <v>444</v>
      </c>
    </row>
    <row r="42" spans="1:4" x14ac:dyDescent="0.4">
      <c r="A42" t="s">
        <v>470</v>
      </c>
      <c r="B42" s="4" t="s">
        <v>655</v>
      </c>
      <c r="D42" t="s">
        <v>444</v>
      </c>
    </row>
    <row r="43" spans="1:4" x14ac:dyDescent="0.4">
      <c r="A43" t="s">
        <v>471</v>
      </c>
      <c r="B43" s="4" t="s">
        <v>656</v>
      </c>
      <c r="D43" t="s">
        <v>444</v>
      </c>
    </row>
    <row r="44" spans="1:4" x14ac:dyDescent="0.4">
      <c r="A44" t="s">
        <v>490</v>
      </c>
      <c r="B44" s="4" t="s">
        <v>673</v>
      </c>
      <c r="D44" t="s">
        <v>491</v>
      </c>
    </row>
    <row r="45" spans="1:4" x14ac:dyDescent="0.4">
      <c r="A45" t="s">
        <v>492</v>
      </c>
      <c r="B45" s="4" t="s">
        <v>674</v>
      </c>
      <c r="D45" t="s">
        <v>493</v>
      </c>
    </row>
    <row r="46" spans="1:4" x14ac:dyDescent="0.4">
      <c r="A46" t="s">
        <v>494</v>
      </c>
      <c r="B46" s="4" t="s">
        <v>675</v>
      </c>
      <c r="D46" t="s">
        <v>495</v>
      </c>
    </row>
    <row r="47" spans="1:4" x14ac:dyDescent="0.4">
      <c r="A47" t="s">
        <v>496</v>
      </c>
      <c r="B47" s="4" t="s">
        <v>676</v>
      </c>
      <c r="C47" t="s">
        <v>516</v>
      </c>
      <c r="D47" t="s">
        <v>476</v>
      </c>
    </row>
    <row r="48" spans="1:4" x14ac:dyDescent="0.4">
      <c r="A48" t="s">
        <v>497</v>
      </c>
      <c r="B48" s="4" t="s">
        <v>677</v>
      </c>
      <c r="C48" t="s">
        <v>809</v>
      </c>
      <c r="D48" t="s">
        <v>476</v>
      </c>
    </row>
    <row r="49" spans="1:4" x14ac:dyDescent="0.4">
      <c r="A49" t="s">
        <v>498</v>
      </c>
      <c r="B49" s="4" t="s">
        <v>678</v>
      </c>
      <c r="C49" t="s">
        <v>809</v>
      </c>
      <c r="D49" t="s">
        <v>476</v>
      </c>
    </row>
    <row r="50" spans="1:4" x14ac:dyDescent="0.4">
      <c r="A50" t="s">
        <v>499</v>
      </c>
      <c r="B50" s="4" t="s">
        <v>679</v>
      </c>
      <c r="C50" t="s">
        <v>517</v>
      </c>
      <c r="D50" t="s">
        <v>474</v>
      </c>
    </row>
    <row r="51" spans="1:4" x14ac:dyDescent="0.4">
      <c r="A51" t="s">
        <v>500</v>
      </c>
      <c r="B51" s="4" t="s">
        <v>680</v>
      </c>
      <c r="D51" t="s">
        <v>501</v>
      </c>
    </row>
    <row r="52" spans="1:4" x14ac:dyDescent="0.4">
      <c r="A52" t="s">
        <v>502</v>
      </c>
      <c r="B52" s="4" t="s">
        <v>682</v>
      </c>
      <c r="D52" t="s">
        <v>444</v>
      </c>
    </row>
    <row r="53" spans="1:4" x14ac:dyDescent="0.4">
      <c r="A53" t="s">
        <v>503</v>
      </c>
      <c r="B53" s="4" t="s">
        <v>683</v>
      </c>
      <c r="C53" t="s">
        <v>809</v>
      </c>
      <c r="D53" t="s">
        <v>476</v>
      </c>
    </row>
    <row r="54" spans="1:4" x14ac:dyDescent="0.4">
      <c r="A54" t="s">
        <v>504</v>
      </c>
      <c r="B54" s="4" t="s">
        <v>684</v>
      </c>
      <c r="C54" t="s">
        <v>809</v>
      </c>
      <c r="D54" t="s">
        <v>474</v>
      </c>
    </row>
    <row r="55" spans="1:4" x14ac:dyDescent="0.4">
      <c r="A55" t="s">
        <v>505</v>
      </c>
      <c r="B55" s="4" t="s">
        <v>685</v>
      </c>
      <c r="C55" t="s">
        <v>809</v>
      </c>
      <c r="D55" t="s">
        <v>459</v>
      </c>
    </row>
    <row r="56" spans="1:4" x14ac:dyDescent="0.4">
      <c r="A56" t="s">
        <v>506</v>
      </c>
      <c r="B56" s="4" t="s">
        <v>686</v>
      </c>
      <c r="C56" t="s">
        <v>809</v>
      </c>
      <c r="D56" t="s">
        <v>476</v>
      </c>
    </row>
    <row r="57" spans="1:4" x14ac:dyDescent="0.4">
      <c r="A57" t="s">
        <v>507</v>
      </c>
      <c r="B57" s="4" t="s">
        <v>687</v>
      </c>
      <c r="C57" t="s">
        <v>518</v>
      </c>
      <c r="D57" t="s">
        <v>459</v>
      </c>
    </row>
    <row r="58" spans="1:4" x14ac:dyDescent="0.4">
      <c r="A58" t="s">
        <v>519</v>
      </c>
      <c r="B58" s="4" t="s">
        <v>688</v>
      </c>
      <c r="D58" t="s">
        <v>520</v>
      </c>
    </row>
    <row r="59" spans="1:4" x14ac:dyDescent="0.4">
      <c r="A59" t="s">
        <v>521</v>
      </c>
      <c r="B59" s="4" t="s">
        <v>689</v>
      </c>
      <c r="D59" t="s">
        <v>520</v>
      </c>
    </row>
    <row r="60" spans="1:4" x14ac:dyDescent="0.4">
      <c r="A60" t="s">
        <v>537</v>
      </c>
      <c r="B60" s="4" t="s">
        <v>690</v>
      </c>
      <c r="D60" t="s">
        <v>522</v>
      </c>
    </row>
    <row r="61" spans="1:4" x14ac:dyDescent="0.4">
      <c r="A61" t="s">
        <v>544</v>
      </c>
      <c r="B61" s="4" t="s">
        <v>691</v>
      </c>
      <c r="D61" t="s">
        <v>524</v>
      </c>
    </row>
    <row r="62" spans="1:4" x14ac:dyDescent="0.4">
      <c r="A62" t="s">
        <v>545</v>
      </c>
      <c r="B62" s="4" t="s">
        <v>692</v>
      </c>
      <c r="D62" t="s">
        <v>523</v>
      </c>
    </row>
    <row r="63" spans="1:4" x14ac:dyDescent="0.4">
      <c r="A63" t="s">
        <v>546</v>
      </c>
      <c r="B63" s="4" t="s">
        <v>693</v>
      </c>
      <c r="D63" t="s">
        <v>491</v>
      </c>
    </row>
    <row r="64" spans="1:4" x14ac:dyDescent="0.4">
      <c r="A64" t="s">
        <v>547</v>
      </c>
      <c r="B64" s="4" t="s">
        <v>694</v>
      </c>
      <c r="D64" t="s">
        <v>491</v>
      </c>
    </row>
    <row r="65" spans="1:4" x14ac:dyDescent="0.4">
      <c r="A65" t="s">
        <v>548</v>
      </c>
      <c r="B65" s="4" t="s">
        <v>695</v>
      </c>
      <c r="D65" t="s">
        <v>524</v>
      </c>
    </row>
    <row r="66" spans="1:4" x14ac:dyDescent="0.4">
      <c r="A66" t="s">
        <v>549</v>
      </c>
      <c r="B66" s="4" t="s">
        <v>696</v>
      </c>
      <c r="D66" t="s">
        <v>491</v>
      </c>
    </row>
    <row r="67" spans="1:4" x14ac:dyDescent="0.4">
      <c r="A67" t="s">
        <v>550</v>
      </c>
      <c r="B67" s="4" t="s">
        <v>697</v>
      </c>
      <c r="D67" t="s">
        <v>524</v>
      </c>
    </row>
    <row r="68" spans="1:4" x14ac:dyDescent="0.4">
      <c r="A68" t="s">
        <v>551</v>
      </c>
      <c r="B68" s="4" t="s">
        <v>803</v>
      </c>
      <c r="D68" t="s">
        <v>491</v>
      </c>
    </row>
    <row r="69" spans="1:4" x14ac:dyDescent="0.4">
      <c r="A69" t="s">
        <v>552</v>
      </c>
      <c r="B69" s="4" t="s">
        <v>699</v>
      </c>
      <c r="D69" t="s">
        <v>444</v>
      </c>
    </row>
    <row r="70" spans="1:4" x14ac:dyDescent="0.4">
      <c r="A70" t="s">
        <v>553</v>
      </c>
      <c r="B70" s="4" t="s">
        <v>700</v>
      </c>
      <c r="D70" t="s">
        <v>520</v>
      </c>
    </row>
    <row r="71" spans="1:4" x14ac:dyDescent="0.4">
      <c r="A71" t="s">
        <v>554</v>
      </c>
      <c r="B71" s="4" t="s">
        <v>701</v>
      </c>
      <c r="C71" s="4">
        <f>C9*C10</f>
        <v>0</v>
      </c>
      <c r="D71" t="s">
        <v>526</v>
      </c>
    </row>
    <row r="72" spans="1:4" x14ac:dyDescent="0.4">
      <c r="A72" t="s">
        <v>555</v>
      </c>
      <c r="B72" s="4" t="s">
        <v>702</v>
      </c>
      <c r="C72" s="4"/>
      <c r="D72" t="s">
        <v>525</v>
      </c>
    </row>
    <row r="73" spans="1:4" x14ac:dyDescent="0.4">
      <c r="A73" t="s">
        <v>556</v>
      </c>
      <c r="B73" s="4" t="s">
        <v>703</v>
      </c>
      <c r="D73" t="s">
        <v>525</v>
      </c>
    </row>
    <row r="74" spans="1:4" x14ac:dyDescent="0.4">
      <c r="A74" t="s">
        <v>557</v>
      </c>
      <c r="B74" s="4" t="s">
        <v>704</v>
      </c>
      <c r="D74" t="s">
        <v>525</v>
      </c>
    </row>
    <row r="75" spans="1:4" x14ac:dyDescent="0.4">
      <c r="A75" t="s">
        <v>558</v>
      </c>
      <c r="B75" s="4" t="s">
        <v>705</v>
      </c>
      <c r="D75" t="s">
        <v>444</v>
      </c>
    </row>
    <row r="76" spans="1:4" x14ac:dyDescent="0.4">
      <c r="A76" t="s">
        <v>541</v>
      </c>
      <c r="B76" s="4" t="s">
        <v>706</v>
      </c>
      <c r="D76" t="s">
        <v>520</v>
      </c>
    </row>
    <row r="77" spans="1:4" x14ac:dyDescent="0.4">
      <c r="A77" t="s">
        <v>559</v>
      </c>
      <c r="B77" s="4" t="s">
        <v>800</v>
      </c>
      <c r="D77" t="s">
        <v>444</v>
      </c>
    </row>
    <row r="78" spans="1:4" x14ac:dyDescent="0.4">
      <c r="A78" t="s">
        <v>799</v>
      </c>
      <c r="B78" s="4" t="s">
        <v>801</v>
      </c>
      <c r="C78" s="5" t="e">
        <f>(C77/C13)*100</f>
        <v>#DIV/0!</v>
      </c>
      <c r="D78" t="s">
        <v>802</v>
      </c>
    </row>
    <row r="79" spans="1:4" x14ac:dyDescent="0.4">
      <c r="A79" t="s">
        <v>527</v>
      </c>
      <c r="B79" s="4" t="s">
        <v>708</v>
      </c>
      <c r="D79" t="s">
        <v>540</v>
      </c>
    </row>
    <row r="80" spans="1:4" x14ac:dyDescent="0.4">
      <c r="A80" t="s">
        <v>560</v>
      </c>
      <c r="B80" s="4" t="s">
        <v>709</v>
      </c>
      <c r="D80" t="s">
        <v>528</v>
      </c>
    </row>
    <row r="81" spans="1:4" x14ac:dyDescent="0.4">
      <c r="A81" t="s">
        <v>529</v>
      </c>
      <c r="B81" s="4" t="s">
        <v>710</v>
      </c>
      <c r="D81" t="s">
        <v>530</v>
      </c>
    </row>
    <row r="82" spans="1:4" x14ac:dyDescent="0.4">
      <c r="A82" t="s">
        <v>561</v>
      </c>
      <c r="B82" s="4" t="s">
        <v>711</v>
      </c>
      <c r="D82" t="s">
        <v>528</v>
      </c>
    </row>
    <row r="83" spans="1:4" x14ac:dyDescent="0.4">
      <c r="A83" t="s">
        <v>562</v>
      </c>
      <c r="B83" s="4" t="s">
        <v>712</v>
      </c>
      <c r="D83" t="s">
        <v>530</v>
      </c>
    </row>
    <row r="84" spans="1:4" x14ac:dyDescent="0.4">
      <c r="A84" t="s">
        <v>563</v>
      </c>
      <c r="B84" s="4" t="s">
        <v>713</v>
      </c>
      <c r="D84" t="s">
        <v>528</v>
      </c>
    </row>
    <row r="85" spans="1:4" x14ac:dyDescent="0.4">
      <c r="A85" t="s">
        <v>564</v>
      </c>
      <c r="B85" s="4" t="s">
        <v>714</v>
      </c>
      <c r="D85" t="s">
        <v>530</v>
      </c>
    </row>
    <row r="86" spans="1:4" x14ac:dyDescent="0.4">
      <c r="A86" t="s">
        <v>565</v>
      </c>
      <c r="B86" s="4" t="s">
        <v>715</v>
      </c>
      <c r="D86" t="s">
        <v>528</v>
      </c>
    </row>
    <row r="87" spans="1:4" x14ac:dyDescent="0.4">
      <c r="A87" t="s">
        <v>566</v>
      </c>
      <c r="B87" s="4" t="s">
        <v>716</v>
      </c>
      <c r="D87" t="s">
        <v>530</v>
      </c>
    </row>
    <row r="88" spans="1:4" x14ac:dyDescent="0.4">
      <c r="A88" t="s">
        <v>567</v>
      </c>
      <c r="B88" s="4" t="s">
        <v>717</v>
      </c>
      <c r="D88" t="s">
        <v>528</v>
      </c>
    </row>
    <row r="89" spans="1:4" x14ac:dyDescent="0.4">
      <c r="A89" t="s">
        <v>568</v>
      </c>
      <c r="B89" s="4" t="s">
        <v>718</v>
      </c>
      <c r="D89" t="s">
        <v>530</v>
      </c>
    </row>
    <row r="90" spans="1:4" x14ac:dyDescent="0.4">
      <c r="A90" t="s">
        <v>569</v>
      </c>
      <c r="B90" s="4" t="s">
        <v>719</v>
      </c>
      <c r="D90" t="s">
        <v>528</v>
      </c>
    </row>
    <row r="91" spans="1:4" x14ac:dyDescent="0.4">
      <c r="A91" t="s">
        <v>570</v>
      </c>
      <c r="B91" s="4" t="s">
        <v>720</v>
      </c>
      <c r="D91" t="s">
        <v>530</v>
      </c>
    </row>
    <row r="92" spans="1:4" x14ac:dyDescent="0.4">
      <c r="A92" t="s">
        <v>571</v>
      </c>
      <c r="B92" s="4" t="s">
        <v>721</v>
      </c>
      <c r="D92" t="s">
        <v>528</v>
      </c>
    </row>
    <row r="93" spans="1:4" x14ac:dyDescent="0.4">
      <c r="A93" t="s">
        <v>572</v>
      </c>
      <c r="B93" s="4" t="s">
        <v>722</v>
      </c>
      <c r="D93" t="s">
        <v>530</v>
      </c>
    </row>
    <row r="94" spans="1:4" x14ac:dyDescent="0.4">
      <c r="A94" t="s">
        <v>573</v>
      </c>
      <c r="B94" s="4" t="s">
        <v>723</v>
      </c>
      <c r="D94" t="s">
        <v>530</v>
      </c>
    </row>
    <row r="95" spans="1:4" x14ac:dyDescent="0.4">
      <c r="A95" t="s">
        <v>574</v>
      </c>
      <c r="B95" s="4" t="s">
        <v>724</v>
      </c>
      <c r="D95" t="s">
        <v>530</v>
      </c>
    </row>
    <row r="96" spans="1:4" x14ac:dyDescent="0.4">
      <c r="A96" t="s">
        <v>542</v>
      </c>
      <c r="B96" s="4" t="s">
        <v>725</v>
      </c>
      <c r="D96" t="s">
        <v>530</v>
      </c>
    </row>
    <row r="97" spans="1:4" x14ac:dyDescent="0.4">
      <c r="A97" t="s">
        <v>543</v>
      </c>
      <c r="B97" s="4" t="s">
        <v>726</v>
      </c>
      <c r="D97" t="s">
        <v>535</v>
      </c>
    </row>
    <row r="98" spans="1:4" x14ac:dyDescent="0.4">
      <c r="A98" t="s">
        <v>575</v>
      </c>
      <c r="B98" s="4" t="s">
        <v>727</v>
      </c>
      <c r="D98" t="s">
        <v>535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election activeCell="A20" sqref="A20"/>
    </sheetView>
  </sheetViews>
  <sheetFormatPr defaultRowHeight="17.399999999999999" x14ac:dyDescent="0.4"/>
  <cols>
    <col min="1" max="1" width="68.19921875" bestFit="1" customWidth="1"/>
    <col min="2" max="2" width="27.5" bestFit="1" customWidth="1"/>
    <col min="3" max="3" width="6.796875" bestFit="1" customWidth="1"/>
    <col min="4" max="4" width="8.5" bestFit="1" customWidth="1"/>
    <col min="5" max="5" width="6.796875" bestFit="1" customWidth="1"/>
  </cols>
  <sheetData>
    <row r="1" spans="1:10" x14ac:dyDescent="0.4">
      <c r="A1" t="s">
        <v>576</v>
      </c>
      <c r="B1" t="s">
        <v>577</v>
      </c>
      <c r="C1" t="s">
        <v>807</v>
      </c>
      <c r="D1" t="s">
        <v>578</v>
      </c>
      <c r="E1" t="s">
        <v>579</v>
      </c>
      <c r="F1" t="s">
        <v>580</v>
      </c>
      <c r="G1" t="s">
        <v>808</v>
      </c>
    </row>
    <row r="2" spans="1:10" x14ac:dyDescent="0.4">
      <c r="A2" t="s">
        <v>581</v>
      </c>
      <c r="B2" s="4" t="s">
        <v>688</v>
      </c>
      <c r="C2" s="4"/>
      <c r="D2">
        <v>200</v>
      </c>
      <c r="F2" t="s">
        <v>582</v>
      </c>
      <c r="I2" s="1"/>
      <c r="J2" s="1"/>
    </row>
    <row r="3" spans="1:10" x14ac:dyDescent="0.4">
      <c r="A3" t="s">
        <v>583</v>
      </c>
      <c r="B3" s="4" t="s">
        <v>689</v>
      </c>
      <c r="C3" s="4"/>
      <c r="D3">
        <v>200</v>
      </c>
      <c r="F3" t="s">
        <v>584</v>
      </c>
      <c r="I3" s="1"/>
      <c r="J3" s="1"/>
    </row>
    <row r="4" spans="1:10" x14ac:dyDescent="0.4">
      <c r="A4" t="s">
        <v>585</v>
      </c>
      <c r="B4" s="4" t="s">
        <v>690</v>
      </c>
      <c r="C4" s="4"/>
      <c r="D4">
        <v>50</v>
      </c>
      <c r="F4" t="s">
        <v>586</v>
      </c>
      <c r="I4" s="1"/>
      <c r="J4" s="1"/>
    </row>
    <row r="5" spans="1:10" x14ac:dyDescent="0.4">
      <c r="A5" t="s">
        <v>587</v>
      </c>
      <c r="B5" s="4" t="s">
        <v>691</v>
      </c>
      <c r="C5" s="4"/>
      <c r="D5">
        <v>0.1</v>
      </c>
      <c r="F5" t="s">
        <v>588</v>
      </c>
      <c r="I5" s="1"/>
      <c r="J5" s="1"/>
    </row>
    <row r="6" spans="1:10" x14ac:dyDescent="0.4">
      <c r="A6" t="s">
        <v>589</v>
      </c>
      <c r="B6" s="4" t="s">
        <v>692</v>
      </c>
      <c r="C6" s="4"/>
      <c r="D6">
        <v>0.5</v>
      </c>
      <c r="F6" t="s">
        <v>538</v>
      </c>
      <c r="I6" s="1"/>
      <c r="J6" s="1"/>
    </row>
    <row r="7" spans="1:10" x14ac:dyDescent="0.4">
      <c r="A7" t="s">
        <v>590</v>
      </c>
      <c r="B7" s="4" t="s">
        <v>693</v>
      </c>
      <c r="C7" s="4"/>
      <c r="D7">
        <v>0.1</v>
      </c>
      <c r="F7" t="s">
        <v>591</v>
      </c>
      <c r="I7" s="1"/>
      <c r="J7" s="1"/>
    </row>
    <row r="8" spans="1:10" x14ac:dyDescent="0.4">
      <c r="A8" t="s">
        <v>539</v>
      </c>
      <c r="B8" s="4" t="s">
        <v>694</v>
      </c>
      <c r="C8" s="4"/>
      <c r="D8">
        <v>0.5</v>
      </c>
      <c r="F8" t="s">
        <v>592</v>
      </c>
      <c r="I8" s="1"/>
      <c r="J8" s="1"/>
    </row>
    <row r="9" spans="1:10" x14ac:dyDescent="0.4">
      <c r="A9" t="s">
        <v>593</v>
      </c>
      <c r="B9" s="4" t="s">
        <v>695</v>
      </c>
      <c r="C9" s="4"/>
      <c r="D9">
        <v>0.1</v>
      </c>
      <c r="F9" t="s">
        <v>594</v>
      </c>
      <c r="I9" s="1"/>
      <c r="J9" s="1"/>
    </row>
    <row r="10" spans="1:10" x14ac:dyDescent="0.4">
      <c r="A10" t="s">
        <v>595</v>
      </c>
      <c r="B10" s="4" t="s">
        <v>696</v>
      </c>
      <c r="C10" s="4"/>
      <c r="D10">
        <v>0.1</v>
      </c>
      <c r="F10" t="s">
        <v>596</v>
      </c>
      <c r="I10" s="1"/>
      <c r="J10" s="1"/>
    </row>
    <row r="11" spans="1:10" x14ac:dyDescent="0.4">
      <c r="A11" t="s">
        <v>597</v>
      </c>
      <c r="B11" s="4" t="s">
        <v>697</v>
      </c>
      <c r="C11" s="4"/>
      <c r="D11">
        <v>0.3</v>
      </c>
      <c r="F11" t="s">
        <v>592</v>
      </c>
      <c r="I11" s="1"/>
      <c r="J11" s="1"/>
    </row>
    <row r="12" spans="1:10" x14ac:dyDescent="0.4">
      <c r="A12" t="s">
        <v>598</v>
      </c>
      <c r="B12" s="4" t="s">
        <v>698</v>
      </c>
      <c r="C12" s="4"/>
      <c r="D12">
        <v>0.1</v>
      </c>
      <c r="F12" t="s">
        <v>588</v>
      </c>
      <c r="I12" s="1"/>
      <c r="J12" s="1"/>
    </row>
    <row r="13" spans="1:10" x14ac:dyDescent="0.4">
      <c r="A13" t="s">
        <v>599</v>
      </c>
      <c r="B13" s="4" t="s">
        <v>699</v>
      </c>
      <c r="C13" s="4"/>
      <c r="E13">
        <v>5</v>
      </c>
      <c r="F13" t="s">
        <v>600</v>
      </c>
      <c r="I13" s="1"/>
      <c r="J13" s="1"/>
    </row>
    <row r="14" spans="1:10" x14ac:dyDescent="0.4">
      <c r="A14" t="s">
        <v>601</v>
      </c>
      <c r="B14" s="4" t="s">
        <v>700</v>
      </c>
      <c r="C14" s="4"/>
      <c r="D14">
        <v>50</v>
      </c>
      <c r="F14" t="s">
        <v>525</v>
      </c>
      <c r="I14" s="1"/>
      <c r="J14" s="1"/>
    </row>
    <row r="15" spans="1:10" x14ac:dyDescent="0.4">
      <c r="A15" t="s">
        <v>797</v>
      </c>
      <c r="B15" s="4" t="s">
        <v>635</v>
      </c>
      <c r="C15" s="4"/>
      <c r="E15" s="5">
        <f>input!C3/75</f>
        <v>0</v>
      </c>
      <c r="F15" t="s">
        <v>798</v>
      </c>
      <c r="I15" s="1"/>
      <c r="J15" s="1"/>
    </row>
    <row r="16" spans="1:10" x14ac:dyDescent="0.4">
      <c r="A16" t="s">
        <v>602</v>
      </c>
      <c r="B16" s="4" t="s">
        <v>701</v>
      </c>
      <c r="C16" s="4"/>
      <c r="D16" t="e">
        <f ca="1">IF(
  BS!D1&gt;20,
  3.13 + 0.115*(BS!D1-20),
  XLOOKUP(BS!D1, BS!$D$2:$D$21, BS!$E$2:$E$21)
)</f>
        <v>#NAME?</v>
      </c>
      <c r="E16" t="e">
        <f>IF(
  BS!A1&gt;2500,
  5 + 0.0016*(BS!A1-2500),
  INDEX(BS!$B$2:$B$28, MATCH(BS!A1, BS!$A$2:$A$28, 1))
  + (BS!A1 - INDEX(BS!$A$2:$A$28, MATCH(BS!A1, BS!$A$2:$A$28, 1)))
    * (INDEX(BS!$B$2:$B$28, MATCH(BS!A1, BS!$A$2:$A$28, 1)+1)
       - INDEX(BS!$B$2:$B$28, MATCH(BS!A1, BS!$A$2:$A$28, 1)))
    / (INDEX(BS!$A$2:$A$28, MATCH(BS!A1, BS!$A$2:$A$28, 1)+1)
       - INDEX(BS!$A$2:$A$28, MATCH(BS!A1, BS!$A$2:$A$28, 1)))
)</f>
        <v>#N/A</v>
      </c>
      <c r="F16" t="s">
        <v>603</v>
      </c>
      <c r="I16" s="1"/>
      <c r="J16" s="1"/>
    </row>
    <row r="17" spans="1:10" x14ac:dyDescent="0.4">
      <c r="A17" t="s">
        <v>604</v>
      </c>
      <c r="B17" s="4" t="s">
        <v>702</v>
      </c>
      <c r="C17" s="4"/>
      <c r="D17">
        <v>100</v>
      </c>
      <c r="F17" t="s">
        <v>586</v>
      </c>
      <c r="I17" s="1"/>
      <c r="J17" s="1"/>
    </row>
    <row r="18" spans="1:10" x14ac:dyDescent="0.4">
      <c r="A18" t="s">
        <v>605</v>
      </c>
      <c r="B18" s="4" t="s">
        <v>703</v>
      </c>
      <c r="C18" s="4"/>
      <c r="D18">
        <v>5</v>
      </c>
      <c r="F18" t="s">
        <v>606</v>
      </c>
      <c r="I18" s="1"/>
      <c r="J18" s="1"/>
    </row>
    <row r="19" spans="1:10" x14ac:dyDescent="0.4">
      <c r="A19" t="s">
        <v>607</v>
      </c>
      <c r="B19" s="4" t="s">
        <v>704</v>
      </c>
      <c r="C19" s="4"/>
      <c r="D19">
        <v>5</v>
      </c>
      <c r="F19" t="s">
        <v>525</v>
      </c>
      <c r="I19" s="1"/>
      <c r="J19" s="1"/>
    </row>
    <row r="20" spans="1:10" x14ac:dyDescent="0.4">
      <c r="A20" t="s">
        <v>608</v>
      </c>
      <c r="B20" s="4" t="s">
        <v>705</v>
      </c>
      <c r="C20" s="4"/>
      <c r="E20">
        <v>5</v>
      </c>
      <c r="F20" t="s">
        <v>444</v>
      </c>
      <c r="I20" s="1"/>
      <c r="J20" s="1"/>
    </row>
    <row r="21" spans="1:10" x14ac:dyDescent="0.4">
      <c r="A21" t="s">
        <v>609</v>
      </c>
      <c r="B21" s="4" t="s">
        <v>706</v>
      </c>
      <c r="C21" s="4"/>
      <c r="D21">
        <v>50</v>
      </c>
      <c r="F21" t="s">
        <v>610</v>
      </c>
      <c r="I21" s="1"/>
      <c r="J21" s="1"/>
    </row>
    <row r="22" spans="1:10" x14ac:dyDescent="0.4">
      <c r="A22" t="s">
        <v>611</v>
      </c>
      <c r="B22" s="4" t="s">
        <v>707</v>
      </c>
      <c r="C22" s="4"/>
      <c r="E22">
        <v>1</v>
      </c>
      <c r="F22" t="s">
        <v>612</v>
      </c>
      <c r="I22" s="1"/>
      <c r="J22" s="1"/>
    </row>
    <row r="23" spans="1:10" x14ac:dyDescent="0.4">
      <c r="A23" t="s">
        <v>613</v>
      </c>
      <c r="B23" s="4" t="s">
        <v>709</v>
      </c>
      <c r="C23" s="4"/>
      <c r="E23" s="4">
        <f>input!C8</f>
        <v>0</v>
      </c>
      <c r="F23" t="s">
        <v>528</v>
      </c>
      <c r="I23" s="1"/>
      <c r="J23" s="1"/>
    </row>
    <row r="24" spans="1:10" x14ac:dyDescent="0.4">
      <c r="A24" t="s">
        <v>614</v>
      </c>
      <c r="B24" s="4" t="s">
        <v>710</v>
      </c>
      <c r="C24" s="4"/>
      <c r="D24">
        <f>input!C5*0.92</f>
        <v>0</v>
      </c>
      <c r="E24">
        <f>input!C5*1.05</f>
        <v>0</v>
      </c>
      <c r="F24" t="s">
        <v>615</v>
      </c>
      <c r="I24" s="1"/>
      <c r="J24" s="1"/>
    </row>
    <row r="25" spans="1:10" x14ac:dyDescent="0.4">
      <c r="A25" t="s">
        <v>616</v>
      </c>
      <c r="B25" s="4" t="s">
        <v>711</v>
      </c>
      <c r="C25" s="4"/>
      <c r="E25" s="4">
        <f>input!C8</f>
        <v>0</v>
      </c>
      <c r="F25" t="s">
        <v>617</v>
      </c>
      <c r="I25" s="1"/>
      <c r="J25" s="1"/>
    </row>
    <row r="26" spans="1:10" x14ac:dyDescent="0.4">
      <c r="A26" t="s">
        <v>562</v>
      </c>
      <c r="B26" s="4" t="s">
        <v>712</v>
      </c>
      <c r="C26" s="4"/>
      <c r="D26">
        <f>input!C5*0.92</f>
        <v>0</v>
      </c>
      <c r="E26">
        <f>input!C5*1.05</f>
        <v>0</v>
      </c>
      <c r="F26" t="s">
        <v>615</v>
      </c>
      <c r="I26" s="1"/>
      <c r="J26" s="1"/>
    </row>
    <row r="27" spans="1:10" x14ac:dyDescent="0.4">
      <c r="A27" t="s">
        <v>618</v>
      </c>
      <c r="B27" s="4" t="s">
        <v>713</v>
      </c>
      <c r="C27" s="4"/>
      <c r="E27" s="4">
        <f>input!C8</f>
        <v>0</v>
      </c>
      <c r="F27" t="s">
        <v>528</v>
      </c>
      <c r="I27" s="1"/>
      <c r="J27" s="1"/>
    </row>
    <row r="28" spans="1:10" x14ac:dyDescent="0.4">
      <c r="A28" t="s">
        <v>619</v>
      </c>
      <c r="B28" s="4" t="s">
        <v>714</v>
      </c>
      <c r="C28" s="4"/>
      <c r="D28">
        <f>input!C5*0.92</f>
        <v>0</v>
      </c>
      <c r="E28">
        <f>input!C5*1.05</f>
        <v>0</v>
      </c>
      <c r="F28" t="s">
        <v>620</v>
      </c>
      <c r="I28" s="1"/>
      <c r="J28" s="1"/>
    </row>
    <row r="29" spans="1:10" x14ac:dyDescent="0.4">
      <c r="A29" t="s">
        <v>621</v>
      </c>
      <c r="B29" s="4" t="s">
        <v>715</v>
      </c>
      <c r="C29" s="4"/>
      <c r="E29" s="4">
        <f>input!C8</f>
        <v>0</v>
      </c>
      <c r="F29" t="s">
        <v>622</v>
      </c>
      <c r="I29" s="1"/>
      <c r="J29" s="1"/>
    </row>
    <row r="30" spans="1:10" x14ac:dyDescent="0.4">
      <c r="A30" t="s">
        <v>531</v>
      </c>
      <c r="B30" s="4" t="s">
        <v>716</v>
      </c>
      <c r="C30" s="4"/>
      <c r="D30">
        <f>input!C5*0.92</f>
        <v>0</v>
      </c>
      <c r="E30">
        <f>input!C5*1.05</f>
        <v>0</v>
      </c>
      <c r="F30" t="s">
        <v>623</v>
      </c>
    </row>
    <row r="31" spans="1:10" x14ac:dyDescent="0.4">
      <c r="A31" t="s">
        <v>624</v>
      </c>
      <c r="B31" s="4" t="s">
        <v>717</v>
      </c>
      <c r="C31" s="4"/>
      <c r="E31" s="4">
        <f>input!C8</f>
        <v>0</v>
      </c>
      <c r="F31" t="s">
        <v>528</v>
      </c>
    </row>
    <row r="32" spans="1:10" x14ac:dyDescent="0.4">
      <c r="A32" t="s">
        <v>532</v>
      </c>
      <c r="B32" s="4" t="s">
        <v>718</v>
      </c>
      <c r="C32" s="4"/>
      <c r="D32">
        <f>input!C5*0.92</f>
        <v>0</v>
      </c>
      <c r="E32">
        <f>input!C5*1.05</f>
        <v>0</v>
      </c>
      <c r="F32" t="s">
        <v>530</v>
      </c>
    </row>
    <row r="33" spans="1:6" x14ac:dyDescent="0.4">
      <c r="A33" t="s">
        <v>625</v>
      </c>
      <c r="B33" s="4" t="s">
        <v>719</v>
      </c>
      <c r="C33" s="4"/>
      <c r="E33" s="4">
        <f>input!C8</f>
        <v>0</v>
      </c>
      <c r="F33" t="s">
        <v>528</v>
      </c>
    </row>
    <row r="34" spans="1:6" x14ac:dyDescent="0.4">
      <c r="A34" t="s">
        <v>626</v>
      </c>
      <c r="B34" s="4" t="s">
        <v>720</v>
      </c>
      <c r="C34" s="4"/>
      <c r="D34">
        <f>input!C5*0.92</f>
        <v>0</v>
      </c>
      <c r="E34">
        <f>input!C5*1.05</f>
        <v>0</v>
      </c>
      <c r="F34" t="s">
        <v>530</v>
      </c>
    </row>
    <row r="35" spans="1:6" x14ac:dyDescent="0.4">
      <c r="A35" t="s">
        <v>627</v>
      </c>
      <c r="B35" s="4" t="s">
        <v>721</v>
      </c>
      <c r="C35" s="4"/>
      <c r="E35" s="4">
        <f>input!C8</f>
        <v>0</v>
      </c>
      <c r="F35" t="s">
        <v>628</v>
      </c>
    </row>
    <row r="36" spans="1:6" x14ac:dyDescent="0.4">
      <c r="A36" t="s">
        <v>533</v>
      </c>
      <c r="B36" s="4" t="s">
        <v>722</v>
      </c>
      <c r="C36" s="4"/>
      <c r="E36">
        <v>0.8</v>
      </c>
      <c r="F36" t="s">
        <v>615</v>
      </c>
    </row>
    <row r="37" spans="1:6" x14ac:dyDescent="0.4">
      <c r="A37" t="s">
        <v>534</v>
      </c>
      <c r="B37" s="4" t="s">
        <v>723</v>
      </c>
      <c r="C37" s="4"/>
      <c r="E37">
        <v>0.3</v>
      </c>
      <c r="F37" t="s">
        <v>615</v>
      </c>
    </row>
    <row r="38" spans="1:6" x14ac:dyDescent="0.4">
      <c r="A38" t="s">
        <v>629</v>
      </c>
      <c r="B38" s="4" t="s">
        <v>724</v>
      </c>
      <c r="C38" s="4"/>
      <c r="E38">
        <v>0.63</v>
      </c>
      <c r="F38" t="s">
        <v>615</v>
      </c>
    </row>
    <row r="39" spans="1:6" x14ac:dyDescent="0.4">
      <c r="A39" t="s">
        <v>630</v>
      </c>
      <c r="B39" s="4" t="s">
        <v>725</v>
      </c>
      <c r="C39" s="4"/>
      <c r="E39">
        <v>0.3</v>
      </c>
      <c r="F39" t="s">
        <v>631</v>
      </c>
    </row>
    <row r="40" spans="1:6" x14ac:dyDescent="0.4">
      <c r="A40" t="s">
        <v>632</v>
      </c>
      <c r="B40" s="4" t="s">
        <v>726</v>
      </c>
      <c r="C40" s="4"/>
      <c r="D40">
        <v>1</v>
      </c>
      <c r="F40" t="s">
        <v>535</v>
      </c>
    </row>
    <row r="41" spans="1:6" x14ac:dyDescent="0.4">
      <c r="A41" t="s">
        <v>536</v>
      </c>
      <c r="B41" s="4" t="s">
        <v>727</v>
      </c>
      <c r="C41" s="4"/>
      <c r="D41">
        <v>0.5</v>
      </c>
      <c r="F41" t="s">
        <v>535</v>
      </c>
    </row>
    <row r="42" spans="1:6" x14ac:dyDescent="0.4">
      <c r="A42" t="s">
        <v>817</v>
      </c>
      <c r="B42" s="4" t="s">
        <v>639</v>
      </c>
      <c r="D42">
        <v>1.6</v>
      </c>
      <c r="F42" t="s">
        <v>819</v>
      </c>
    </row>
    <row r="43" spans="1:6" x14ac:dyDescent="0.4">
      <c r="A43" t="s">
        <v>818</v>
      </c>
      <c r="B43" s="4" t="s">
        <v>640</v>
      </c>
      <c r="D43">
        <v>1.35</v>
      </c>
      <c r="F43" t="s">
        <v>820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4"/>
  <sheetViews>
    <sheetView tabSelected="1" topLeftCell="D243" workbookViewId="0">
      <selection activeCell="E244" sqref="E244"/>
    </sheetView>
  </sheetViews>
  <sheetFormatPr defaultRowHeight="17.399999999999999" x14ac:dyDescent="0.4"/>
  <cols>
    <col min="1" max="1" width="58.09765625" bestFit="1" customWidth="1"/>
    <col min="2" max="2" width="18.3984375" style="2" customWidth="1"/>
    <col min="3" max="3" width="12.59765625" style="2" bestFit="1" customWidth="1"/>
    <col min="4" max="4" width="12.59765625" style="2" customWidth="1"/>
    <col min="5" max="5" width="65.69921875" customWidth="1"/>
  </cols>
  <sheetData>
    <row r="1" spans="1:5" x14ac:dyDescent="0.4">
      <c r="A1" t="s">
        <v>0</v>
      </c>
      <c r="B1" s="2" t="s">
        <v>204</v>
      </c>
      <c r="C1" s="2" t="s">
        <v>805</v>
      </c>
      <c r="D1" s="2" t="s">
        <v>730</v>
      </c>
      <c r="E1" t="s">
        <v>823</v>
      </c>
    </row>
    <row r="2" spans="1:5" ht="156.6" x14ac:dyDescent="0.4">
      <c r="A2" s="1" t="s">
        <v>205</v>
      </c>
      <c r="B2" s="2">
        <v>5.3</v>
      </c>
      <c r="C2" s="3">
        <v>45033</v>
      </c>
      <c r="D2" s="3"/>
      <c r="E2" s="1" t="s">
        <v>2</v>
      </c>
    </row>
    <row r="3" spans="1:5" ht="104.4" x14ac:dyDescent="0.4">
      <c r="A3" t="s">
        <v>206</v>
      </c>
      <c r="B3" s="2" t="s">
        <v>207</v>
      </c>
      <c r="C3" s="3">
        <v>44377</v>
      </c>
      <c r="D3" s="3"/>
      <c r="E3" s="1" t="s">
        <v>3</v>
      </c>
    </row>
    <row r="4" spans="1:5" ht="52.2" x14ac:dyDescent="0.4">
      <c r="A4" t="s">
        <v>206</v>
      </c>
      <c r="B4" s="2" t="s">
        <v>207</v>
      </c>
      <c r="C4" s="3">
        <v>45323</v>
      </c>
      <c r="D4" s="3"/>
      <c r="E4" s="1" t="s">
        <v>4</v>
      </c>
    </row>
    <row r="5" spans="1:5" ht="313.2" x14ac:dyDescent="0.4">
      <c r="A5" t="s">
        <v>208</v>
      </c>
      <c r="B5" s="2" t="s">
        <v>209</v>
      </c>
      <c r="C5" s="3">
        <v>44488</v>
      </c>
      <c r="D5" s="3"/>
      <c r="E5" s="1" t="s">
        <v>5</v>
      </c>
    </row>
    <row r="6" spans="1:5" ht="409.6" x14ac:dyDescent="0.4">
      <c r="A6" t="s">
        <v>210</v>
      </c>
      <c r="B6" s="2" t="s">
        <v>211</v>
      </c>
      <c r="C6" s="3">
        <v>44663</v>
      </c>
      <c r="D6" s="3"/>
      <c r="E6" s="1" t="s">
        <v>6</v>
      </c>
    </row>
    <row r="7" spans="1:5" ht="261" x14ac:dyDescent="0.4">
      <c r="A7" t="s">
        <v>212</v>
      </c>
      <c r="B7" s="2" t="s">
        <v>213</v>
      </c>
      <c r="C7" s="3">
        <v>45323</v>
      </c>
      <c r="D7" s="3"/>
      <c r="E7" s="1" t="s">
        <v>7</v>
      </c>
    </row>
    <row r="8" spans="1:5" ht="382.8" x14ac:dyDescent="0.4">
      <c r="A8" t="s">
        <v>8</v>
      </c>
      <c r="B8" s="2" t="s">
        <v>214</v>
      </c>
      <c r="C8" s="3">
        <v>45658</v>
      </c>
      <c r="D8" s="3"/>
      <c r="E8" s="1" t="s">
        <v>9</v>
      </c>
    </row>
    <row r="9" spans="1:5" ht="409.6" x14ac:dyDescent="0.4">
      <c r="A9" t="s">
        <v>215</v>
      </c>
      <c r="B9" s="2" t="s">
        <v>216</v>
      </c>
      <c r="C9" s="3">
        <v>45658</v>
      </c>
      <c r="D9" s="3"/>
      <c r="E9" s="1" t="s">
        <v>10</v>
      </c>
    </row>
    <row r="10" spans="1:5" ht="69.599999999999994" x14ac:dyDescent="0.4">
      <c r="A10" t="s">
        <v>217</v>
      </c>
      <c r="B10" s="2" t="s">
        <v>218</v>
      </c>
      <c r="C10" s="3">
        <v>42370</v>
      </c>
      <c r="D10" s="3"/>
      <c r="E10" s="1" t="s">
        <v>11</v>
      </c>
    </row>
    <row r="11" spans="1:5" ht="174" x14ac:dyDescent="0.4">
      <c r="A11" t="s">
        <v>219</v>
      </c>
      <c r="B11" s="2" t="s">
        <v>220</v>
      </c>
      <c r="C11" s="3">
        <v>46023</v>
      </c>
      <c r="D11" s="3"/>
      <c r="E11" s="1" t="s">
        <v>12</v>
      </c>
    </row>
    <row r="12" spans="1:5" ht="34.799999999999997" x14ac:dyDescent="0.4">
      <c r="A12" t="s">
        <v>221</v>
      </c>
      <c r="B12" s="2" t="s">
        <v>222</v>
      </c>
      <c r="C12" s="3">
        <v>43238</v>
      </c>
      <c r="D12" s="3"/>
      <c r="E12" s="1" t="s">
        <v>13</v>
      </c>
    </row>
    <row r="13" spans="1:5" x14ac:dyDescent="0.4">
      <c r="A13" t="s">
        <v>223</v>
      </c>
      <c r="B13" s="2" t="s">
        <v>224</v>
      </c>
      <c r="C13" s="3">
        <v>45119</v>
      </c>
      <c r="D13" s="3"/>
      <c r="E13" t="s">
        <v>14</v>
      </c>
    </row>
    <row r="14" spans="1:5" ht="87" x14ac:dyDescent="0.4">
      <c r="A14" t="s">
        <v>225</v>
      </c>
      <c r="B14" s="2" t="s">
        <v>226</v>
      </c>
      <c r="C14" s="3">
        <v>45119</v>
      </c>
      <c r="D14" s="3"/>
      <c r="E14" s="1" t="s">
        <v>15</v>
      </c>
    </row>
    <row r="15" spans="1:5" ht="69.599999999999994" x14ac:dyDescent="0.4">
      <c r="A15" t="s">
        <v>227</v>
      </c>
      <c r="B15" s="2" t="s">
        <v>228</v>
      </c>
      <c r="C15" s="3">
        <v>42503</v>
      </c>
      <c r="D15" s="3"/>
      <c r="E15" s="1" t="s">
        <v>16</v>
      </c>
    </row>
    <row r="16" spans="1:5" ht="104.4" x14ac:dyDescent="0.4">
      <c r="A16" t="s">
        <v>227</v>
      </c>
      <c r="B16" s="2" t="s">
        <v>228</v>
      </c>
      <c r="C16" s="3">
        <v>42763</v>
      </c>
      <c r="D16" s="3"/>
      <c r="E16" s="1" t="s">
        <v>17</v>
      </c>
    </row>
    <row r="17" spans="1:5" ht="69.599999999999994" x14ac:dyDescent="0.4">
      <c r="A17" t="s">
        <v>227</v>
      </c>
      <c r="B17" s="2" t="s">
        <v>228</v>
      </c>
      <c r="C17" s="3">
        <v>43206</v>
      </c>
      <c r="D17" s="3"/>
      <c r="E17" s="1" t="s">
        <v>18</v>
      </c>
    </row>
    <row r="18" spans="1:5" ht="174" x14ac:dyDescent="0.4">
      <c r="A18" t="s">
        <v>229</v>
      </c>
      <c r="B18" s="2" t="s">
        <v>230</v>
      </c>
      <c r="C18" s="3">
        <v>43559</v>
      </c>
      <c r="D18" s="3"/>
      <c r="E18" s="1" t="s">
        <v>19</v>
      </c>
    </row>
    <row r="19" spans="1:5" ht="191.4" x14ac:dyDescent="0.4">
      <c r="A19" t="s">
        <v>231</v>
      </c>
      <c r="B19" s="2" t="s">
        <v>232</v>
      </c>
      <c r="C19" s="3">
        <v>42503</v>
      </c>
      <c r="D19" s="3"/>
      <c r="E19" s="1" t="s">
        <v>20</v>
      </c>
    </row>
    <row r="20" spans="1:5" ht="52.2" x14ac:dyDescent="0.4">
      <c r="A20" t="s">
        <v>233</v>
      </c>
      <c r="B20" s="2" t="s">
        <v>232</v>
      </c>
      <c r="C20" s="3">
        <v>43182</v>
      </c>
      <c r="D20" s="3"/>
      <c r="E20" s="1" t="s">
        <v>21</v>
      </c>
    </row>
    <row r="21" spans="1:5" ht="313.2" x14ac:dyDescent="0.4">
      <c r="A21" t="s">
        <v>234</v>
      </c>
      <c r="B21" s="2" t="s">
        <v>235</v>
      </c>
      <c r="C21" s="3">
        <v>45764</v>
      </c>
      <c r="D21" s="3"/>
      <c r="E21" s="1" t="s">
        <v>22</v>
      </c>
    </row>
    <row r="22" spans="1:5" ht="104.4" x14ac:dyDescent="0.4">
      <c r="A22" t="s">
        <v>234</v>
      </c>
      <c r="B22" s="2" t="s">
        <v>235</v>
      </c>
      <c r="C22" s="3">
        <v>43182</v>
      </c>
      <c r="D22" s="3"/>
      <c r="E22" s="1" t="s">
        <v>23</v>
      </c>
    </row>
    <row r="23" spans="1:5" ht="69.599999999999994" x14ac:dyDescent="0.4">
      <c r="A23" t="s">
        <v>234</v>
      </c>
      <c r="B23" s="2" t="s">
        <v>235</v>
      </c>
      <c r="C23" s="3">
        <v>43552</v>
      </c>
      <c r="D23" s="3"/>
      <c r="E23" s="1" t="s">
        <v>24</v>
      </c>
    </row>
    <row r="24" spans="1:5" ht="34.799999999999997" x14ac:dyDescent="0.4">
      <c r="A24" t="s">
        <v>236</v>
      </c>
      <c r="B24" s="2" t="s">
        <v>237</v>
      </c>
      <c r="C24" s="3">
        <v>44855</v>
      </c>
      <c r="D24" s="3"/>
      <c r="E24" s="1" t="s">
        <v>27</v>
      </c>
    </row>
    <row r="25" spans="1:5" ht="34.799999999999997" x14ac:dyDescent="0.4">
      <c r="A25" t="s">
        <v>238</v>
      </c>
      <c r="B25" s="2" t="s">
        <v>237</v>
      </c>
      <c r="C25" s="3">
        <v>42763</v>
      </c>
      <c r="D25" s="3"/>
      <c r="E25" s="1" t="s">
        <v>25</v>
      </c>
    </row>
    <row r="26" spans="1:5" ht="34.799999999999997" x14ac:dyDescent="0.4">
      <c r="A26" t="s">
        <v>239</v>
      </c>
      <c r="B26" s="2" t="s">
        <v>240</v>
      </c>
      <c r="C26" s="3">
        <v>43892</v>
      </c>
      <c r="D26" s="3"/>
      <c r="E26" s="1" t="s">
        <v>26</v>
      </c>
    </row>
    <row r="27" spans="1:5" ht="52.2" x14ac:dyDescent="0.4">
      <c r="A27" t="s">
        <v>241</v>
      </c>
      <c r="B27" s="2">
        <v>6.4</v>
      </c>
      <c r="C27" s="3">
        <v>42763</v>
      </c>
      <c r="D27" s="3"/>
      <c r="E27" s="1" t="s">
        <v>28</v>
      </c>
    </row>
    <row r="28" spans="1:5" ht="87" x14ac:dyDescent="0.4">
      <c r="A28" t="s">
        <v>242</v>
      </c>
      <c r="B28" s="2" t="s">
        <v>243</v>
      </c>
      <c r="C28" s="3">
        <v>45589</v>
      </c>
      <c r="D28" s="3"/>
      <c r="E28" s="1" t="s">
        <v>29</v>
      </c>
    </row>
    <row r="29" spans="1:5" ht="52.2" x14ac:dyDescent="0.4">
      <c r="A29" t="s">
        <v>244</v>
      </c>
      <c r="B29" s="2" t="s">
        <v>245</v>
      </c>
      <c r="C29" s="3">
        <v>45139</v>
      </c>
      <c r="D29" s="3"/>
      <c r="E29" s="1" t="s">
        <v>30</v>
      </c>
    </row>
    <row r="30" spans="1:5" ht="52.2" x14ac:dyDescent="0.4">
      <c r="A30" t="s">
        <v>246</v>
      </c>
      <c r="B30" s="2" t="s">
        <v>247</v>
      </c>
      <c r="C30" s="3">
        <v>44747</v>
      </c>
      <c r="D30" s="3"/>
      <c r="E30" s="1" t="s">
        <v>31</v>
      </c>
    </row>
    <row r="31" spans="1:5" x14ac:dyDescent="0.4">
      <c r="A31" t="s">
        <v>248</v>
      </c>
      <c r="B31" s="2" t="s">
        <v>247</v>
      </c>
      <c r="C31" s="3">
        <v>44747</v>
      </c>
      <c r="D31" s="3"/>
      <c r="E31" s="1" t="s">
        <v>32</v>
      </c>
    </row>
    <row r="32" spans="1:5" ht="69.599999999999994" x14ac:dyDescent="0.4">
      <c r="A32" t="s">
        <v>249</v>
      </c>
      <c r="B32" s="2" t="s">
        <v>250</v>
      </c>
      <c r="C32" s="3">
        <v>42503</v>
      </c>
      <c r="D32" s="3"/>
      <c r="E32" s="1" t="s">
        <v>33</v>
      </c>
    </row>
    <row r="33" spans="1:5" ht="139.19999999999999" x14ac:dyDescent="0.4">
      <c r="A33" t="s">
        <v>251</v>
      </c>
      <c r="B33" s="2" t="s">
        <v>252</v>
      </c>
      <c r="C33" s="3">
        <v>43559</v>
      </c>
      <c r="D33" s="3"/>
      <c r="E33" s="1" t="s">
        <v>34</v>
      </c>
    </row>
    <row r="34" spans="1:5" ht="69.599999999999994" x14ac:dyDescent="0.4">
      <c r="A34" t="s">
        <v>253</v>
      </c>
      <c r="B34" s="2" t="s">
        <v>254</v>
      </c>
      <c r="C34" s="3">
        <v>45119</v>
      </c>
      <c r="D34" s="3"/>
      <c r="E34" s="1" t="s">
        <v>35</v>
      </c>
    </row>
    <row r="35" spans="1:5" ht="174" x14ac:dyDescent="0.4">
      <c r="A35" t="s">
        <v>253</v>
      </c>
      <c r="B35" s="2" t="s">
        <v>254</v>
      </c>
      <c r="C35" s="3">
        <v>42503</v>
      </c>
      <c r="D35" s="3"/>
      <c r="E35" s="1" t="s">
        <v>36</v>
      </c>
    </row>
    <row r="36" spans="1:5" ht="52.2" x14ac:dyDescent="0.4">
      <c r="A36" t="s">
        <v>253</v>
      </c>
      <c r="B36" s="2" t="s">
        <v>254</v>
      </c>
      <c r="C36" s="3">
        <v>42503</v>
      </c>
      <c r="D36" s="3"/>
      <c r="E36" s="1" t="s">
        <v>37</v>
      </c>
    </row>
    <row r="37" spans="1:5" ht="104.4" x14ac:dyDescent="0.4">
      <c r="A37" t="s">
        <v>253</v>
      </c>
      <c r="B37" s="2" t="s">
        <v>254</v>
      </c>
      <c r="C37" s="3">
        <v>43892</v>
      </c>
      <c r="D37" s="3"/>
      <c r="E37" s="1" t="s">
        <v>38</v>
      </c>
    </row>
    <row r="38" spans="1:5" ht="87" x14ac:dyDescent="0.4">
      <c r="A38" t="s">
        <v>253</v>
      </c>
      <c r="B38" s="2" t="s">
        <v>254</v>
      </c>
      <c r="C38" s="3">
        <v>45323</v>
      </c>
      <c r="D38" s="3"/>
      <c r="E38" s="1" t="s">
        <v>39</v>
      </c>
    </row>
    <row r="39" spans="1:5" ht="52.2" x14ac:dyDescent="0.4">
      <c r="A39" t="s">
        <v>253</v>
      </c>
      <c r="B39" s="2" t="s">
        <v>254</v>
      </c>
      <c r="C39" s="3">
        <v>43892</v>
      </c>
      <c r="D39" s="3"/>
      <c r="E39" s="1" t="s">
        <v>40</v>
      </c>
    </row>
    <row r="40" spans="1:5" ht="52.2" x14ac:dyDescent="0.4">
      <c r="A40" t="s">
        <v>255</v>
      </c>
      <c r="B40" s="2" t="s">
        <v>256</v>
      </c>
      <c r="C40" s="3">
        <v>42503</v>
      </c>
      <c r="D40" s="3"/>
      <c r="E40" s="1" t="s">
        <v>41</v>
      </c>
    </row>
    <row r="41" spans="1:5" ht="104.4" x14ac:dyDescent="0.4">
      <c r="A41" t="s">
        <v>42</v>
      </c>
      <c r="B41" s="2" t="s">
        <v>257</v>
      </c>
      <c r="C41" s="3">
        <v>44377</v>
      </c>
      <c r="D41" s="3"/>
      <c r="E41" s="1" t="s">
        <v>43</v>
      </c>
    </row>
    <row r="42" spans="1:5" ht="87" x14ac:dyDescent="0.4">
      <c r="A42" t="s">
        <v>42</v>
      </c>
      <c r="B42" s="2" t="s">
        <v>257</v>
      </c>
      <c r="C42" s="3">
        <v>43559</v>
      </c>
      <c r="D42" s="3"/>
      <c r="E42" s="1" t="s">
        <v>44</v>
      </c>
    </row>
    <row r="43" spans="1:5" ht="69.599999999999994" x14ac:dyDescent="0.4">
      <c r="A43" t="s">
        <v>42</v>
      </c>
      <c r="B43" s="2" t="s">
        <v>257</v>
      </c>
      <c r="C43" s="3">
        <v>44895</v>
      </c>
      <c r="D43" s="3"/>
      <c r="E43" s="1" t="s">
        <v>45</v>
      </c>
    </row>
    <row r="44" spans="1:5" ht="139.19999999999999" x14ac:dyDescent="0.4">
      <c r="A44" t="s">
        <v>258</v>
      </c>
      <c r="B44" s="2" t="s">
        <v>259</v>
      </c>
      <c r="C44" s="3">
        <v>45139</v>
      </c>
      <c r="D44" s="3"/>
      <c r="E44" s="1" t="s">
        <v>46</v>
      </c>
    </row>
    <row r="45" spans="1:5" ht="121.8" x14ac:dyDescent="0.4">
      <c r="A45" t="s">
        <v>260</v>
      </c>
      <c r="B45" s="2" t="s">
        <v>261</v>
      </c>
      <c r="C45" s="3">
        <v>42503</v>
      </c>
      <c r="D45" s="3"/>
      <c r="E45" s="1" t="s">
        <v>47</v>
      </c>
    </row>
    <row r="46" spans="1:5" ht="69.599999999999994" x14ac:dyDescent="0.4">
      <c r="A46" t="s">
        <v>262</v>
      </c>
      <c r="B46" s="2" t="s">
        <v>263</v>
      </c>
      <c r="C46" s="3">
        <v>44895</v>
      </c>
      <c r="D46" s="3"/>
      <c r="E46" s="1" t="s">
        <v>48</v>
      </c>
    </row>
    <row r="47" spans="1:5" ht="87" x14ac:dyDescent="0.4">
      <c r="A47" t="s">
        <v>264</v>
      </c>
      <c r="B47" s="2" t="s">
        <v>265</v>
      </c>
      <c r="C47" s="3">
        <v>44552</v>
      </c>
      <c r="D47" s="3"/>
      <c r="E47" s="1" t="s">
        <v>49</v>
      </c>
    </row>
    <row r="48" spans="1:5" ht="261" x14ac:dyDescent="0.4">
      <c r="A48" t="s">
        <v>266</v>
      </c>
      <c r="B48" s="2" t="s">
        <v>267</v>
      </c>
      <c r="C48" s="3">
        <v>45292</v>
      </c>
      <c r="D48" s="3"/>
      <c r="E48" s="1" t="s">
        <v>50</v>
      </c>
    </row>
    <row r="49" spans="1:5" ht="139.19999999999999" x14ac:dyDescent="0.4">
      <c r="A49" t="s">
        <v>268</v>
      </c>
      <c r="B49" s="2" t="s">
        <v>267</v>
      </c>
      <c r="C49" s="3">
        <v>45033</v>
      </c>
      <c r="D49" s="3"/>
      <c r="E49" s="1" t="s">
        <v>51</v>
      </c>
    </row>
    <row r="50" spans="1:5" ht="69.599999999999994" x14ac:dyDescent="0.4">
      <c r="A50" t="s">
        <v>269</v>
      </c>
      <c r="B50" s="2" t="s">
        <v>271</v>
      </c>
      <c r="C50" s="3">
        <v>43182</v>
      </c>
      <c r="D50" s="3"/>
      <c r="E50" s="1" t="s">
        <v>52</v>
      </c>
    </row>
    <row r="51" spans="1:5" ht="52.2" x14ac:dyDescent="0.4">
      <c r="A51" t="s">
        <v>270</v>
      </c>
      <c r="B51" s="2" t="s">
        <v>272</v>
      </c>
      <c r="C51" s="3">
        <v>43892</v>
      </c>
      <c r="D51" s="3"/>
      <c r="E51" s="1" t="s">
        <v>53</v>
      </c>
    </row>
    <row r="52" spans="1:5" ht="87" x14ac:dyDescent="0.4">
      <c r="A52" t="s">
        <v>273</v>
      </c>
      <c r="B52" s="2" t="s">
        <v>274</v>
      </c>
      <c r="C52" s="3">
        <v>42503</v>
      </c>
      <c r="D52" s="3"/>
      <c r="E52" s="1" t="s">
        <v>54</v>
      </c>
    </row>
    <row r="53" spans="1:5" ht="87" x14ac:dyDescent="0.4">
      <c r="A53" t="s">
        <v>275</v>
      </c>
      <c r="B53" s="2" t="s">
        <v>276</v>
      </c>
      <c r="C53" s="3">
        <v>43559</v>
      </c>
      <c r="D53" s="3"/>
      <c r="E53" s="1" t="s">
        <v>55</v>
      </c>
    </row>
    <row r="54" spans="1:5" ht="69.599999999999994" x14ac:dyDescent="0.4">
      <c r="A54" t="s">
        <v>277</v>
      </c>
      <c r="B54" s="2" t="s">
        <v>276</v>
      </c>
      <c r="C54" s="3">
        <v>43892</v>
      </c>
      <c r="D54" s="3"/>
      <c r="E54" s="1" t="s">
        <v>56</v>
      </c>
    </row>
    <row r="55" spans="1:5" ht="69.599999999999994" x14ac:dyDescent="0.4">
      <c r="A55" t="s">
        <v>278</v>
      </c>
      <c r="B55" s="2" t="s">
        <v>279</v>
      </c>
      <c r="C55" s="3">
        <v>42503</v>
      </c>
      <c r="D55" s="3"/>
      <c r="E55" s="1" t="s">
        <v>57</v>
      </c>
    </row>
    <row r="56" spans="1:5" ht="52.2" x14ac:dyDescent="0.4">
      <c r="A56" t="s">
        <v>280</v>
      </c>
      <c r="B56" s="2" t="s">
        <v>279</v>
      </c>
      <c r="C56" s="3">
        <v>42503</v>
      </c>
      <c r="D56" s="3"/>
      <c r="E56" s="1" t="s">
        <v>58</v>
      </c>
    </row>
    <row r="57" spans="1:5" ht="69.599999999999994" x14ac:dyDescent="0.4">
      <c r="A57" t="s">
        <v>281</v>
      </c>
      <c r="B57" s="2" t="s">
        <v>282</v>
      </c>
      <c r="C57" s="3">
        <v>43892</v>
      </c>
      <c r="D57" s="3"/>
      <c r="E57" s="1" t="s">
        <v>59</v>
      </c>
    </row>
    <row r="58" spans="1:5" ht="409.6" x14ac:dyDescent="0.4">
      <c r="A58" t="s">
        <v>281</v>
      </c>
      <c r="B58" s="2" t="s">
        <v>282</v>
      </c>
      <c r="C58" s="3">
        <v>43892</v>
      </c>
      <c r="D58" s="3"/>
      <c r="E58" s="1" t="s">
        <v>60</v>
      </c>
    </row>
    <row r="59" spans="1:5" x14ac:dyDescent="0.4">
      <c r="A59" t="s">
        <v>283</v>
      </c>
      <c r="B59" s="2" t="s">
        <v>284</v>
      </c>
      <c r="C59" s="3">
        <v>42503</v>
      </c>
      <c r="D59" s="3"/>
      <c r="E59" s="1" t="s">
        <v>61</v>
      </c>
    </row>
    <row r="60" spans="1:5" ht="87" x14ac:dyDescent="0.4">
      <c r="A60" t="s">
        <v>285</v>
      </c>
      <c r="B60" s="2" t="s">
        <v>286</v>
      </c>
      <c r="C60" s="3">
        <v>42763</v>
      </c>
      <c r="D60" s="3"/>
      <c r="E60" s="1" t="s">
        <v>62</v>
      </c>
    </row>
    <row r="61" spans="1:5" ht="104.4" x14ac:dyDescent="0.4">
      <c r="A61" t="s">
        <v>285</v>
      </c>
      <c r="B61" s="2" t="s">
        <v>286</v>
      </c>
      <c r="C61" s="3">
        <v>45119</v>
      </c>
      <c r="D61" s="3"/>
      <c r="E61" s="1" t="s">
        <v>63</v>
      </c>
    </row>
    <row r="62" spans="1:5" ht="87" x14ac:dyDescent="0.4">
      <c r="A62" t="s">
        <v>287</v>
      </c>
      <c r="B62" s="2" t="s">
        <v>288</v>
      </c>
      <c r="C62" s="3">
        <v>43983</v>
      </c>
      <c r="D62" s="3"/>
      <c r="E62" s="1" t="s">
        <v>64</v>
      </c>
    </row>
    <row r="63" spans="1:5" ht="69.599999999999994" x14ac:dyDescent="0.4">
      <c r="A63" t="s">
        <v>289</v>
      </c>
      <c r="B63" s="2" t="s">
        <v>290</v>
      </c>
      <c r="C63" s="3">
        <v>45119</v>
      </c>
      <c r="D63" s="3"/>
      <c r="E63" s="1" t="s">
        <v>65</v>
      </c>
    </row>
    <row r="64" spans="1:5" ht="69.599999999999994" x14ac:dyDescent="0.4">
      <c r="A64" t="s">
        <v>289</v>
      </c>
      <c r="B64" s="2" t="s">
        <v>290</v>
      </c>
      <c r="C64" s="3">
        <v>42503</v>
      </c>
      <c r="D64" s="3"/>
      <c r="E64" s="1" t="s">
        <v>66</v>
      </c>
    </row>
    <row r="65" spans="1:5" ht="87" x14ac:dyDescent="0.4">
      <c r="A65" t="s">
        <v>291</v>
      </c>
      <c r="B65" s="2" t="s">
        <v>292</v>
      </c>
      <c r="C65" s="3">
        <v>43892</v>
      </c>
      <c r="D65" s="3"/>
      <c r="E65" s="1" t="s">
        <v>67</v>
      </c>
    </row>
    <row r="66" spans="1:5" ht="52.2" x14ac:dyDescent="0.4">
      <c r="A66" t="s">
        <v>291</v>
      </c>
      <c r="B66" s="2" t="s">
        <v>292</v>
      </c>
      <c r="C66" s="3">
        <v>43182</v>
      </c>
      <c r="D66" s="3"/>
      <c r="E66" s="1" t="s">
        <v>68</v>
      </c>
    </row>
    <row r="67" spans="1:5" x14ac:dyDescent="0.4">
      <c r="A67" t="s">
        <v>293</v>
      </c>
      <c r="B67" s="2" t="s">
        <v>294</v>
      </c>
      <c r="C67" s="3">
        <v>45119</v>
      </c>
      <c r="D67" s="3"/>
      <c r="E67" s="1" t="s">
        <v>69</v>
      </c>
    </row>
    <row r="68" spans="1:5" ht="52.2" x14ac:dyDescent="0.4">
      <c r="A68" t="s">
        <v>295</v>
      </c>
      <c r="B68" s="2" t="s">
        <v>296</v>
      </c>
      <c r="C68" s="3">
        <v>45033</v>
      </c>
      <c r="D68" s="3"/>
      <c r="E68" s="1" t="s">
        <v>70</v>
      </c>
    </row>
    <row r="69" spans="1:5" ht="69.599999999999994" x14ac:dyDescent="0.4">
      <c r="A69" t="s">
        <v>297</v>
      </c>
      <c r="B69" s="2" t="s">
        <v>298</v>
      </c>
      <c r="C69" s="3">
        <v>42503</v>
      </c>
      <c r="D69" s="3"/>
      <c r="E69" s="1" t="s">
        <v>71</v>
      </c>
    </row>
    <row r="70" spans="1:5" ht="52.2" x14ac:dyDescent="0.4">
      <c r="A70" t="s">
        <v>299</v>
      </c>
      <c r="B70" s="2" t="s">
        <v>300</v>
      </c>
      <c r="C70" s="3">
        <v>43313</v>
      </c>
      <c r="D70" s="3"/>
      <c r="E70" s="1" t="s">
        <v>72</v>
      </c>
    </row>
    <row r="71" spans="1:5" ht="52.2" x14ac:dyDescent="0.4">
      <c r="A71" t="s">
        <v>301</v>
      </c>
      <c r="B71" s="2" t="s">
        <v>300</v>
      </c>
      <c r="C71" s="3">
        <v>45119</v>
      </c>
      <c r="D71" s="3"/>
      <c r="E71" s="1" t="s">
        <v>73</v>
      </c>
    </row>
    <row r="72" spans="1:5" ht="69.599999999999994" x14ac:dyDescent="0.4">
      <c r="A72" t="s">
        <v>302</v>
      </c>
      <c r="B72" s="2">
        <v>8.1999999999999993</v>
      </c>
      <c r="C72" s="3">
        <v>42763</v>
      </c>
      <c r="D72" s="3"/>
      <c r="E72" s="1" t="s">
        <v>74</v>
      </c>
    </row>
    <row r="73" spans="1:5" ht="121.8" x14ac:dyDescent="0.4">
      <c r="A73" t="s">
        <v>302</v>
      </c>
      <c r="B73" s="2">
        <v>8.1999999999999993</v>
      </c>
      <c r="C73" s="3">
        <v>44855</v>
      </c>
      <c r="D73" s="3"/>
      <c r="E73" s="1" t="s">
        <v>75</v>
      </c>
    </row>
    <row r="74" spans="1:5" ht="52.2" x14ac:dyDescent="0.4">
      <c r="A74" t="s">
        <v>303</v>
      </c>
      <c r="B74" s="2" t="s">
        <v>304</v>
      </c>
      <c r="C74" s="3">
        <v>45033</v>
      </c>
      <c r="D74" s="3"/>
      <c r="E74" s="1" t="s">
        <v>76</v>
      </c>
    </row>
    <row r="75" spans="1:5" ht="87" x14ac:dyDescent="0.4">
      <c r="A75" t="s">
        <v>305</v>
      </c>
      <c r="B75" s="2" t="s">
        <v>306</v>
      </c>
      <c r="C75" s="3">
        <v>43892</v>
      </c>
      <c r="D75" s="3"/>
      <c r="E75" s="1" t="s">
        <v>77</v>
      </c>
    </row>
    <row r="76" spans="1:5" ht="52.2" x14ac:dyDescent="0.4">
      <c r="A76" t="s">
        <v>307</v>
      </c>
      <c r="B76" s="2" t="s">
        <v>308</v>
      </c>
      <c r="C76" s="3">
        <v>42763</v>
      </c>
      <c r="D76" s="3"/>
      <c r="E76" s="1" t="s">
        <v>78</v>
      </c>
    </row>
    <row r="77" spans="1:5" ht="69.599999999999994" x14ac:dyDescent="0.4">
      <c r="A77" t="s">
        <v>307</v>
      </c>
      <c r="B77" s="2" t="s">
        <v>308</v>
      </c>
      <c r="C77" s="3">
        <v>43547</v>
      </c>
      <c r="D77" s="3"/>
      <c r="E77" s="1" t="s">
        <v>79</v>
      </c>
    </row>
    <row r="78" spans="1:5" ht="104.4" x14ac:dyDescent="0.4">
      <c r="A78" t="s">
        <v>309</v>
      </c>
      <c r="B78" s="2" t="s">
        <v>310</v>
      </c>
      <c r="C78" s="3">
        <v>43559</v>
      </c>
      <c r="D78" s="3"/>
      <c r="E78" s="1" t="s">
        <v>80</v>
      </c>
    </row>
    <row r="79" spans="1:5" ht="69.599999999999994" x14ac:dyDescent="0.4">
      <c r="A79" t="s">
        <v>311</v>
      </c>
      <c r="B79" s="2" t="s">
        <v>312</v>
      </c>
      <c r="C79" s="3">
        <v>43892</v>
      </c>
      <c r="D79" s="3"/>
      <c r="E79" s="1" t="s">
        <v>81</v>
      </c>
    </row>
    <row r="80" spans="1:5" ht="139.19999999999999" x14ac:dyDescent="0.4">
      <c r="A80" t="s">
        <v>313</v>
      </c>
      <c r="B80" s="2">
        <v>8.6</v>
      </c>
      <c r="C80" s="3">
        <v>45224</v>
      </c>
      <c r="D80" s="3"/>
      <c r="E80" s="1" t="s">
        <v>82</v>
      </c>
    </row>
    <row r="81" spans="1:5" ht="104.4" x14ac:dyDescent="0.4">
      <c r="A81" t="s">
        <v>314</v>
      </c>
      <c r="B81" s="2" t="s">
        <v>315</v>
      </c>
      <c r="C81" s="3">
        <v>43559</v>
      </c>
      <c r="D81" s="3"/>
      <c r="E81" s="1" t="s">
        <v>83</v>
      </c>
    </row>
    <row r="82" spans="1:5" ht="69.599999999999994" x14ac:dyDescent="0.4">
      <c r="A82" t="s">
        <v>316</v>
      </c>
      <c r="B82" s="2" t="s">
        <v>317</v>
      </c>
      <c r="C82" s="3">
        <v>43559</v>
      </c>
      <c r="D82" s="3"/>
      <c r="E82" s="1" t="s">
        <v>84</v>
      </c>
    </row>
    <row r="83" spans="1:5" ht="52.2" x14ac:dyDescent="0.4">
      <c r="A83" t="s">
        <v>318</v>
      </c>
      <c r="B83" s="2" t="s">
        <v>319</v>
      </c>
      <c r="C83" s="3">
        <v>42503</v>
      </c>
      <c r="D83" s="3"/>
      <c r="E83" s="1" t="s">
        <v>85</v>
      </c>
    </row>
    <row r="84" spans="1:5" ht="34.799999999999997" x14ac:dyDescent="0.4">
      <c r="A84" t="s">
        <v>318</v>
      </c>
      <c r="B84" s="2" t="s">
        <v>319</v>
      </c>
      <c r="C84" s="3">
        <v>43182</v>
      </c>
      <c r="D84" s="3"/>
      <c r="E84" s="1" t="s">
        <v>86</v>
      </c>
    </row>
    <row r="85" spans="1:5" ht="69.599999999999994" x14ac:dyDescent="0.4">
      <c r="A85" t="s">
        <v>318</v>
      </c>
      <c r="B85" s="2" t="s">
        <v>319</v>
      </c>
      <c r="C85" s="3">
        <v>43182</v>
      </c>
      <c r="D85" s="3"/>
      <c r="E85" s="1" t="s">
        <v>87</v>
      </c>
    </row>
    <row r="86" spans="1:5" ht="52.2" x14ac:dyDescent="0.4">
      <c r="A86" t="s">
        <v>318</v>
      </c>
      <c r="B86" s="2" t="s">
        <v>319</v>
      </c>
      <c r="C86" s="3">
        <v>43552</v>
      </c>
      <c r="D86" s="3"/>
      <c r="E86" s="1" t="s">
        <v>88</v>
      </c>
    </row>
    <row r="87" spans="1:5" ht="34.799999999999997" x14ac:dyDescent="0.4">
      <c r="A87" t="s">
        <v>318</v>
      </c>
      <c r="B87" s="2" t="s">
        <v>319</v>
      </c>
      <c r="C87" s="3">
        <v>43182</v>
      </c>
      <c r="D87" s="3"/>
      <c r="E87" s="1" t="s">
        <v>89</v>
      </c>
    </row>
    <row r="88" spans="1:5" ht="52.2" x14ac:dyDescent="0.4">
      <c r="A88" t="s">
        <v>318</v>
      </c>
      <c r="B88" s="2" t="s">
        <v>319</v>
      </c>
      <c r="C88" s="3">
        <v>43892</v>
      </c>
      <c r="D88" s="3"/>
      <c r="E88" s="1" t="s">
        <v>90</v>
      </c>
    </row>
    <row r="89" spans="1:5" ht="34.799999999999997" x14ac:dyDescent="0.4">
      <c r="A89" t="s">
        <v>318</v>
      </c>
      <c r="B89" s="2" t="s">
        <v>319</v>
      </c>
      <c r="C89" s="3">
        <v>43892</v>
      </c>
      <c r="D89" s="3"/>
      <c r="E89" s="1" t="s">
        <v>91</v>
      </c>
    </row>
    <row r="90" spans="1:5" ht="139.19999999999999" x14ac:dyDescent="0.4">
      <c r="A90" t="s">
        <v>318</v>
      </c>
      <c r="B90" s="2" t="s">
        <v>319</v>
      </c>
      <c r="C90" s="3">
        <v>45748</v>
      </c>
      <c r="D90" s="3"/>
      <c r="E90" s="1" t="s">
        <v>92</v>
      </c>
    </row>
    <row r="91" spans="1:5" ht="52.2" x14ac:dyDescent="0.4">
      <c r="A91" t="s">
        <v>320</v>
      </c>
      <c r="B91" s="2">
        <v>8.8000000000000007</v>
      </c>
      <c r="C91" s="3">
        <v>43814</v>
      </c>
      <c r="D91" s="3"/>
      <c r="E91" s="1" t="s">
        <v>93</v>
      </c>
    </row>
    <row r="92" spans="1:5" ht="52.2" x14ac:dyDescent="0.4">
      <c r="A92" t="s">
        <v>321</v>
      </c>
      <c r="B92" s="2" t="s">
        <v>322</v>
      </c>
      <c r="C92" s="3">
        <v>43892</v>
      </c>
      <c r="D92" s="3"/>
      <c r="E92" s="1" t="s">
        <v>94</v>
      </c>
    </row>
    <row r="93" spans="1:5" ht="139.19999999999999" x14ac:dyDescent="0.4">
      <c r="A93" t="s">
        <v>323</v>
      </c>
      <c r="B93" s="2">
        <v>9.1999999999999993</v>
      </c>
      <c r="C93" s="3">
        <v>43182</v>
      </c>
      <c r="D93" s="3"/>
      <c r="E93" s="1" t="s">
        <v>95</v>
      </c>
    </row>
    <row r="94" spans="1:5" ht="69.599999999999994" x14ac:dyDescent="0.4">
      <c r="A94" t="s">
        <v>323</v>
      </c>
      <c r="B94" s="2">
        <v>9.1999999999999993</v>
      </c>
      <c r="C94" s="3">
        <v>44987</v>
      </c>
      <c r="D94" s="3"/>
      <c r="E94" s="1" t="s">
        <v>96</v>
      </c>
    </row>
    <row r="95" spans="1:5" ht="52.2" x14ac:dyDescent="0.4">
      <c r="A95" t="s">
        <v>324</v>
      </c>
      <c r="B95" s="2" t="s">
        <v>325</v>
      </c>
      <c r="C95" s="3">
        <v>43892</v>
      </c>
      <c r="D95" s="3"/>
      <c r="E95" s="1" t="s">
        <v>97</v>
      </c>
    </row>
    <row r="96" spans="1:5" ht="52.2" x14ac:dyDescent="0.4">
      <c r="A96" t="s">
        <v>326</v>
      </c>
      <c r="B96" s="2">
        <v>9.6</v>
      </c>
      <c r="C96" s="3">
        <v>43182</v>
      </c>
      <c r="D96" s="3"/>
      <c r="E96" s="1" t="s">
        <v>98</v>
      </c>
    </row>
    <row r="97" spans="1:5" ht="52.2" x14ac:dyDescent="0.4">
      <c r="A97" t="s">
        <v>326</v>
      </c>
      <c r="B97" s="2">
        <v>9.6</v>
      </c>
      <c r="C97" s="3">
        <v>43182</v>
      </c>
      <c r="D97" s="3"/>
      <c r="E97" s="1" t="s">
        <v>99</v>
      </c>
    </row>
    <row r="98" spans="1:5" ht="34.799999999999997" x14ac:dyDescent="0.4">
      <c r="A98" t="s">
        <v>326</v>
      </c>
      <c r="B98" s="2">
        <v>9.6</v>
      </c>
      <c r="C98" s="3">
        <v>45119</v>
      </c>
      <c r="D98" s="3"/>
      <c r="E98" s="1" t="s">
        <v>100</v>
      </c>
    </row>
    <row r="99" spans="1:5" ht="191.4" x14ac:dyDescent="0.4">
      <c r="A99" t="s">
        <v>326</v>
      </c>
      <c r="B99" s="2">
        <v>9.6</v>
      </c>
      <c r="C99" s="3">
        <v>45657</v>
      </c>
      <c r="D99" s="3"/>
      <c r="E99" s="1" t="s">
        <v>101</v>
      </c>
    </row>
    <row r="100" spans="1:5" ht="52.2" x14ac:dyDescent="0.4">
      <c r="A100" t="s">
        <v>327</v>
      </c>
      <c r="B100" s="2">
        <v>9.6999999999999993</v>
      </c>
      <c r="C100" s="3">
        <v>42763</v>
      </c>
      <c r="D100" s="3"/>
      <c r="E100" s="1" t="s">
        <v>102</v>
      </c>
    </row>
    <row r="101" spans="1:5" ht="69.599999999999994" x14ac:dyDescent="0.4">
      <c r="A101" t="s">
        <v>327</v>
      </c>
      <c r="B101" s="2">
        <v>9.6999999999999993</v>
      </c>
      <c r="C101" s="3">
        <v>43191</v>
      </c>
      <c r="D101" s="3"/>
      <c r="E101" s="1" t="s">
        <v>103</v>
      </c>
    </row>
    <row r="102" spans="1:5" ht="52.2" x14ac:dyDescent="0.4">
      <c r="A102" t="s">
        <v>327</v>
      </c>
      <c r="B102" s="2">
        <v>9.6999999999999993</v>
      </c>
      <c r="C102" s="3">
        <v>43182</v>
      </c>
      <c r="D102" s="3"/>
      <c r="E102" s="1" t="s">
        <v>104</v>
      </c>
    </row>
    <row r="103" spans="1:5" ht="52.2" x14ac:dyDescent="0.4">
      <c r="A103" t="s">
        <v>327</v>
      </c>
      <c r="B103" s="2">
        <v>9.6999999999999993</v>
      </c>
      <c r="C103" s="3">
        <v>43182</v>
      </c>
      <c r="D103" s="3"/>
      <c r="E103" s="1" t="s">
        <v>105</v>
      </c>
    </row>
    <row r="104" spans="1:5" ht="52.2" x14ac:dyDescent="0.4">
      <c r="A104" t="s">
        <v>327</v>
      </c>
      <c r="B104" s="2">
        <v>9.6999999999999993</v>
      </c>
      <c r="C104" s="3">
        <v>43182</v>
      </c>
      <c r="D104" s="3"/>
      <c r="E104" s="1" t="s">
        <v>106</v>
      </c>
    </row>
    <row r="105" spans="1:5" ht="69.599999999999994" x14ac:dyDescent="0.4">
      <c r="A105" t="s">
        <v>327</v>
      </c>
      <c r="B105" s="2">
        <v>9.6999999999999993</v>
      </c>
      <c r="C105" s="3">
        <v>43182</v>
      </c>
      <c r="D105" s="3"/>
      <c r="E105" s="1" t="s">
        <v>107</v>
      </c>
    </row>
    <row r="106" spans="1:5" ht="87" x14ac:dyDescent="0.4">
      <c r="A106" t="s">
        <v>328</v>
      </c>
      <c r="B106" s="2" t="s">
        <v>329</v>
      </c>
      <c r="C106" s="3">
        <v>43892</v>
      </c>
      <c r="D106" s="3"/>
      <c r="E106" s="1" t="s">
        <v>108</v>
      </c>
    </row>
    <row r="107" spans="1:5" ht="69.599999999999994" x14ac:dyDescent="0.4">
      <c r="A107" t="s">
        <v>330</v>
      </c>
      <c r="B107" s="2" t="s">
        <v>331</v>
      </c>
      <c r="C107" s="3">
        <v>45119</v>
      </c>
      <c r="D107" s="3"/>
      <c r="E107" s="1" t="s">
        <v>109</v>
      </c>
    </row>
    <row r="108" spans="1:5" ht="121.8" x14ac:dyDescent="0.4">
      <c r="A108" t="s">
        <v>330</v>
      </c>
      <c r="B108" s="2" t="s">
        <v>331</v>
      </c>
      <c r="C108" s="3">
        <v>45323</v>
      </c>
      <c r="D108" s="3"/>
      <c r="E108" s="1" t="s">
        <v>110</v>
      </c>
    </row>
    <row r="109" spans="1:5" ht="104.4" x14ac:dyDescent="0.4">
      <c r="A109" t="s">
        <v>332</v>
      </c>
      <c r="B109" s="2" t="s">
        <v>333</v>
      </c>
      <c r="C109" s="3">
        <v>42503</v>
      </c>
      <c r="D109" s="3"/>
      <c r="E109" s="1" t="s">
        <v>111</v>
      </c>
    </row>
    <row r="110" spans="1:5" ht="52.2" x14ac:dyDescent="0.4">
      <c r="A110" t="s">
        <v>332</v>
      </c>
      <c r="B110" s="2" t="s">
        <v>333</v>
      </c>
      <c r="C110" s="3">
        <v>43559</v>
      </c>
      <c r="D110" s="3"/>
      <c r="E110" s="1" t="s">
        <v>112</v>
      </c>
    </row>
    <row r="111" spans="1:5" ht="69.599999999999994" x14ac:dyDescent="0.4">
      <c r="A111" t="s">
        <v>332</v>
      </c>
      <c r="B111" s="2" t="s">
        <v>333</v>
      </c>
      <c r="C111" s="3">
        <v>43892</v>
      </c>
      <c r="D111" s="3"/>
      <c r="E111" s="1" t="s">
        <v>113</v>
      </c>
    </row>
    <row r="112" spans="1:5" ht="104.4" x14ac:dyDescent="0.4">
      <c r="A112" t="s">
        <v>332</v>
      </c>
      <c r="B112" s="2" t="s">
        <v>333</v>
      </c>
      <c r="C112" s="3">
        <v>45119</v>
      </c>
      <c r="D112" s="3"/>
      <c r="E112" s="1" t="s">
        <v>114</v>
      </c>
    </row>
    <row r="113" spans="1:5" ht="87" x14ac:dyDescent="0.4">
      <c r="A113" t="s">
        <v>334</v>
      </c>
      <c r="B113" s="2" t="s">
        <v>335</v>
      </c>
      <c r="C113" s="3">
        <v>42763</v>
      </c>
      <c r="D113" s="3"/>
      <c r="E113" s="1" t="s">
        <v>115</v>
      </c>
    </row>
    <row r="114" spans="1:5" ht="174" x14ac:dyDescent="0.4">
      <c r="A114" t="s">
        <v>336</v>
      </c>
      <c r="B114" s="2" t="s">
        <v>337</v>
      </c>
      <c r="C114" s="3">
        <v>42763</v>
      </c>
      <c r="D114" s="3"/>
      <c r="E114" s="1" t="s">
        <v>116</v>
      </c>
    </row>
    <row r="115" spans="1:5" ht="87" x14ac:dyDescent="0.4">
      <c r="A115" t="s">
        <v>336</v>
      </c>
      <c r="B115" s="2" t="s">
        <v>337</v>
      </c>
      <c r="C115" s="3">
        <v>42763</v>
      </c>
      <c r="D115" s="3"/>
      <c r="E115" s="1" t="s">
        <v>117</v>
      </c>
    </row>
    <row r="116" spans="1:5" ht="104.4" x14ac:dyDescent="0.4">
      <c r="A116" t="s">
        <v>338</v>
      </c>
      <c r="B116" s="2" t="s">
        <v>339</v>
      </c>
      <c r="C116" s="3">
        <v>42763</v>
      </c>
      <c r="D116" s="3"/>
      <c r="E116" s="1" t="s">
        <v>118</v>
      </c>
    </row>
    <row r="117" spans="1:5" ht="87" x14ac:dyDescent="0.4">
      <c r="A117" t="s">
        <v>338</v>
      </c>
      <c r="B117" s="2" t="s">
        <v>339</v>
      </c>
      <c r="C117" s="3">
        <v>43892</v>
      </c>
      <c r="D117" s="3"/>
      <c r="E117" s="1" t="s">
        <v>119</v>
      </c>
    </row>
    <row r="118" spans="1:5" ht="34.799999999999997" x14ac:dyDescent="0.4">
      <c r="A118" t="s">
        <v>338</v>
      </c>
      <c r="B118" s="2" t="s">
        <v>339</v>
      </c>
      <c r="C118" s="3">
        <v>45560</v>
      </c>
      <c r="D118" s="3"/>
      <c r="E118" s="1" t="s">
        <v>120</v>
      </c>
    </row>
    <row r="119" spans="1:5" ht="52.2" x14ac:dyDescent="0.4">
      <c r="A119" t="s">
        <v>338</v>
      </c>
      <c r="B119" s="2" t="s">
        <v>339</v>
      </c>
      <c r="C119" s="3">
        <v>43182</v>
      </c>
      <c r="D119" s="3"/>
      <c r="E119" s="1" t="s">
        <v>121</v>
      </c>
    </row>
    <row r="120" spans="1:5" ht="104.4" x14ac:dyDescent="0.4">
      <c r="A120" t="s">
        <v>338</v>
      </c>
      <c r="B120" s="2" t="s">
        <v>339</v>
      </c>
      <c r="C120" s="3">
        <v>43892</v>
      </c>
      <c r="D120" s="3"/>
      <c r="E120" s="1" t="s">
        <v>122</v>
      </c>
    </row>
    <row r="121" spans="1:5" ht="87" x14ac:dyDescent="0.4">
      <c r="A121" t="s">
        <v>338</v>
      </c>
      <c r="B121" s="2" t="s">
        <v>339</v>
      </c>
      <c r="C121" s="3">
        <v>43892</v>
      </c>
      <c r="D121" s="3"/>
      <c r="E121" s="1" t="s">
        <v>123</v>
      </c>
    </row>
    <row r="122" spans="1:5" ht="104.4" x14ac:dyDescent="0.4">
      <c r="A122" t="s">
        <v>338</v>
      </c>
      <c r="B122" s="2" t="s">
        <v>339</v>
      </c>
      <c r="C122" s="3">
        <v>43892</v>
      </c>
      <c r="D122" s="3"/>
      <c r="E122" s="1" t="s">
        <v>124</v>
      </c>
    </row>
    <row r="123" spans="1:5" ht="191.4" x14ac:dyDescent="0.4">
      <c r="A123" t="s">
        <v>340</v>
      </c>
      <c r="B123" s="2" t="s">
        <v>341</v>
      </c>
      <c r="C123" s="3">
        <v>43892</v>
      </c>
      <c r="D123" s="3"/>
      <c r="E123" s="1" t="s">
        <v>125</v>
      </c>
    </row>
    <row r="124" spans="1:5" ht="87" x14ac:dyDescent="0.4">
      <c r="A124" t="s">
        <v>342</v>
      </c>
      <c r="B124" s="2" t="s">
        <v>343</v>
      </c>
      <c r="C124" s="3">
        <v>44855</v>
      </c>
      <c r="D124" s="3"/>
      <c r="E124" s="1" t="s">
        <v>126</v>
      </c>
    </row>
    <row r="125" spans="1:5" ht="52.2" x14ac:dyDescent="0.4">
      <c r="A125" t="s">
        <v>344</v>
      </c>
      <c r="B125" s="2" t="s">
        <v>345</v>
      </c>
      <c r="C125" s="3">
        <v>43559</v>
      </c>
      <c r="D125" s="3"/>
      <c r="E125" s="1" t="s">
        <v>127</v>
      </c>
    </row>
    <row r="126" spans="1:5" ht="69.599999999999994" x14ac:dyDescent="0.4">
      <c r="A126" t="s">
        <v>346</v>
      </c>
      <c r="B126" s="2" t="s">
        <v>347</v>
      </c>
      <c r="C126" s="3">
        <v>43182</v>
      </c>
      <c r="D126" s="3"/>
      <c r="E126" s="1" t="s">
        <v>128</v>
      </c>
    </row>
    <row r="127" spans="1:5" ht="174" x14ac:dyDescent="0.4">
      <c r="A127" t="s">
        <v>348</v>
      </c>
      <c r="B127" s="2">
        <v>13.1</v>
      </c>
      <c r="C127" s="3">
        <v>43182</v>
      </c>
      <c r="D127" s="3"/>
      <c r="E127" s="1" t="s">
        <v>129</v>
      </c>
    </row>
    <row r="128" spans="1:5" ht="52.2" x14ac:dyDescent="0.4">
      <c r="A128" t="s">
        <v>349</v>
      </c>
      <c r="B128" s="2" t="s">
        <v>350</v>
      </c>
      <c r="C128" s="3">
        <v>42503</v>
      </c>
      <c r="D128" s="3"/>
      <c r="E128" s="1" t="s">
        <v>130</v>
      </c>
    </row>
    <row r="129" spans="1:5" ht="104.4" x14ac:dyDescent="0.4">
      <c r="A129" t="s">
        <v>349</v>
      </c>
      <c r="B129" s="2" t="s">
        <v>350</v>
      </c>
      <c r="C129" s="3">
        <v>42503</v>
      </c>
      <c r="D129" s="3"/>
      <c r="E129" s="1" t="s">
        <v>131</v>
      </c>
    </row>
    <row r="130" spans="1:5" ht="34.799999999999997" x14ac:dyDescent="0.4">
      <c r="A130" t="s">
        <v>349</v>
      </c>
      <c r="B130" s="2" t="s">
        <v>350</v>
      </c>
      <c r="C130" s="3">
        <v>42763</v>
      </c>
      <c r="D130" s="3"/>
      <c r="E130" s="1" t="s">
        <v>132</v>
      </c>
    </row>
    <row r="131" spans="1:5" ht="104.4" x14ac:dyDescent="0.4">
      <c r="A131" t="s">
        <v>349</v>
      </c>
      <c r="B131" s="2" t="s">
        <v>350</v>
      </c>
      <c r="C131" s="3">
        <v>43182</v>
      </c>
      <c r="D131" s="3"/>
      <c r="E131" s="1" t="s">
        <v>133</v>
      </c>
    </row>
    <row r="132" spans="1:5" ht="87" x14ac:dyDescent="0.4">
      <c r="A132" t="s">
        <v>351</v>
      </c>
      <c r="B132" s="2" t="s">
        <v>352</v>
      </c>
      <c r="C132" s="3">
        <v>42503</v>
      </c>
      <c r="D132" s="3"/>
      <c r="E132" s="1" t="s">
        <v>134</v>
      </c>
    </row>
    <row r="133" spans="1:5" ht="52.2" x14ac:dyDescent="0.4">
      <c r="A133" t="s">
        <v>351</v>
      </c>
      <c r="B133" s="2" t="s">
        <v>352</v>
      </c>
      <c r="C133" s="3">
        <v>42763</v>
      </c>
      <c r="D133" s="3"/>
      <c r="E133" s="1" t="s">
        <v>135</v>
      </c>
    </row>
    <row r="134" spans="1:5" ht="156.6" x14ac:dyDescent="0.4">
      <c r="A134" t="s">
        <v>351</v>
      </c>
      <c r="B134" s="2" t="s">
        <v>352</v>
      </c>
      <c r="C134" s="3">
        <v>43182</v>
      </c>
      <c r="D134" s="3"/>
      <c r="E134" s="1" t="s">
        <v>136</v>
      </c>
    </row>
    <row r="135" spans="1:5" ht="121.8" x14ac:dyDescent="0.4">
      <c r="A135" t="s">
        <v>353</v>
      </c>
      <c r="B135" s="2" t="s">
        <v>354</v>
      </c>
      <c r="C135" s="3">
        <v>42763</v>
      </c>
      <c r="D135" s="3"/>
      <c r="E135" s="1" t="s">
        <v>137</v>
      </c>
    </row>
    <row r="136" spans="1:5" ht="52.2" x14ac:dyDescent="0.4">
      <c r="A136" t="s">
        <v>353</v>
      </c>
      <c r="B136" s="2" t="s">
        <v>354</v>
      </c>
      <c r="C136" s="3">
        <v>43182</v>
      </c>
      <c r="D136" s="3"/>
      <c r="E136" s="1" t="s">
        <v>138</v>
      </c>
    </row>
    <row r="137" spans="1:5" ht="87" x14ac:dyDescent="0.4">
      <c r="A137" t="s">
        <v>353</v>
      </c>
      <c r="B137" s="2" t="s">
        <v>354</v>
      </c>
      <c r="C137" s="3">
        <v>43182</v>
      </c>
      <c r="D137" s="3"/>
      <c r="E137" s="1" t="s">
        <v>139</v>
      </c>
    </row>
    <row r="138" spans="1:5" ht="174" x14ac:dyDescent="0.4">
      <c r="A138" t="s">
        <v>353</v>
      </c>
      <c r="B138" s="2" t="s">
        <v>354</v>
      </c>
      <c r="C138" s="3">
        <v>45119</v>
      </c>
      <c r="D138" s="3"/>
      <c r="E138" s="1" t="s">
        <v>140</v>
      </c>
    </row>
    <row r="139" spans="1:5" ht="52.2" x14ac:dyDescent="0.4">
      <c r="A139" t="s">
        <v>353</v>
      </c>
      <c r="B139" s="2" t="s">
        <v>354</v>
      </c>
      <c r="C139" s="3">
        <v>45119</v>
      </c>
      <c r="D139" s="3"/>
      <c r="E139" s="1" t="s">
        <v>141</v>
      </c>
    </row>
    <row r="140" spans="1:5" ht="52.2" x14ac:dyDescent="0.4">
      <c r="A140" t="s">
        <v>353</v>
      </c>
      <c r="B140" s="2" t="s">
        <v>354</v>
      </c>
      <c r="C140" s="3">
        <v>45589</v>
      </c>
      <c r="D140" s="3"/>
      <c r="E140" s="1" t="s">
        <v>142</v>
      </c>
    </row>
    <row r="141" spans="1:5" ht="104.4" x14ac:dyDescent="0.4">
      <c r="A141" t="s">
        <v>355</v>
      </c>
      <c r="B141" s="2" t="s">
        <v>356</v>
      </c>
      <c r="C141" s="3">
        <v>45589</v>
      </c>
      <c r="D141" s="3"/>
      <c r="E141" s="1" t="s">
        <v>143</v>
      </c>
    </row>
    <row r="142" spans="1:5" ht="104.4" x14ac:dyDescent="0.4">
      <c r="A142" t="s">
        <v>357</v>
      </c>
      <c r="B142" s="2" t="s">
        <v>358</v>
      </c>
      <c r="C142" s="3">
        <v>45033</v>
      </c>
      <c r="D142" s="3"/>
      <c r="E142" s="1" t="s">
        <v>144</v>
      </c>
    </row>
    <row r="143" spans="1:5" ht="69.599999999999994" x14ac:dyDescent="0.4">
      <c r="A143" t="s">
        <v>359</v>
      </c>
      <c r="B143" s="2" t="s">
        <v>360</v>
      </c>
      <c r="C143" s="3">
        <v>42763</v>
      </c>
      <c r="D143" s="3"/>
      <c r="E143" s="1" t="s">
        <v>145</v>
      </c>
    </row>
    <row r="144" spans="1:5" ht="34.799999999999997" x14ac:dyDescent="0.4">
      <c r="A144" t="s">
        <v>359</v>
      </c>
      <c r="B144" s="2" t="s">
        <v>360</v>
      </c>
      <c r="C144" s="3">
        <v>42763</v>
      </c>
      <c r="D144" s="3"/>
      <c r="E144" s="1" t="s">
        <v>146</v>
      </c>
    </row>
    <row r="145" spans="1:5" ht="34.799999999999997" x14ac:dyDescent="0.4">
      <c r="A145" t="s">
        <v>359</v>
      </c>
      <c r="B145" s="2" t="s">
        <v>360</v>
      </c>
      <c r="C145" s="3">
        <v>43182</v>
      </c>
      <c r="D145" s="3"/>
      <c r="E145" s="1" t="s">
        <v>147</v>
      </c>
    </row>
    <row r="146" spans="1:5" ht="52.2" x14ac:dyDescent="0.4">
      <c r="A146" t="s">
        <v>359</v>
      </c>
      <c r="B146" s="2" t="s">
        <v>360</v>
      </c>
      <c r="C146" s="3">
        <v>43182</v>
      </c>
      <c r="D146" s="3"/>
      <c r="E146" s="1" t="s">
        <v>148</v>
      </c>
    </row>
    <row r="147" spans="1:5" ht="156.6" x14ac:dyDescent="0.4">
      <c r="A147" t="s">
        <v>359</v>
      </c>
      <c r="B147" s="2" t="s">
        <v>360</v>
      </c>
      <c r="C147" s="3">
        <v>43182</v>
      </c>
      <c r="D147" s="3"/>
      <c r="E147" s="1" t="s">
        <v>149</v>
      </c>
    </row>
    <row r="148" spans="1:5" ht="52.2" x14ac:dyDescent="0.4">
      <c r="A148" t="s">
        <v>359</v>
      </c>
      <c r="B148" s="2" t="s">
        <v>360</v>
      </c>
      <c r="C148" s="3">
        <v>44377</v>
      </c>
      <c r="D148" s="3"/>
      <c r="E148" s="1" t="s">
        <v>150</v>
      </c>
    </row>
    <row r="149" spans="1:5" ht="69.599999999999994" x14ac:dyDescent="0.4">
      <c r="A149" t="s">
        <v>359</v>
      </c>
      <c r="B149" s="2" t="s">
        <v>360</v>
      </c>
      <c r="C149" s="3">
        <v>43892</v>
      </c>
      <c r="D149" s="3"/>
      <c r="E149" s="1" t="s">
        <v>151</v>
      </c>
    </row>
    <row r="150" spans="1:5" ht="52.2" x14ac:dyDescent="0.4">
      <c r="A150" t="s">
        <v>359</v>
      </c>
      <c r="B150" s="2" t="s">
        <v>360</v>
      </c>
      <c r="C150" s="3">
        <v>44855</v>
      </c>
      <c r="D150" s="3"/>
      <c r="E150" s="1" t="s">
        <v>152</v>
      </c>
    </row>
    <row r="151" spans="1:5" ht="295.8" x14ac:dyDescent="0.4">
      <c r="A151" t="s">
        <v>359</v>
      </c>
      <c r="B151" s="2" t="s">
        <v>360</v>
      </c>
      <c r="C151" s="3">
        <v>45033</v>
      </c>
      <c r="D151" s="3"/>
      <c r="E151" s="1" t="s">
        <v>153</v>
      </c>
    </row>
    <row r="152" spans="1:5" ht="69.599999999999994" x14ac:dyDescent="0.4">
      <c r="A152" t="s">
        <v>359</v>
      </c>
      <c r="B152" s="2" t="s">
        <v>360</v>
      </c>
      <c r="C152" s="3">
        <v>45119</v>
      </c>
      <c r="D152" s="3"/>
      <c r="E152" s="1" t="s">
        <v>154</v>
      </c>
    </row>
    <row r="153" spans="1:5" ht="52.2" x14ac:dyDescent="0.4">
      <c r="A153" t="s">
        <v>359</v>
      </c>
      <c r="B153" s="2" t="s">
        <v>360</v>
      </c>
      <c r="C153" s="3">
        <v>45323</v>
      </c>
      <c r="D153" s="3"/>
      <c r="E153" s="1" t="s">
        <v>155</v>
      </c>
    </row>
    <row r="154" spans="1:5" ht="104.4" x14ac:dyDescent="0.4">
      <c r="A154" t="s">
        <v>361</v>
      </c>
      <c r="B154" s="2" t="s">
        <v>362</v>
      </c>
      <c r="C154" s="3">
        <v>42503</v>
      </c>
      <c r="D154" s="3"/>
      <c r="E154" s="1" t="s">
        <v>156</v>
      </c>
    </row>
    <row r="155" spans="1:5" ht="104.4" x14ac:dyDescent="0.4">
      <c r="A155" t="s">
        <v>361</v>
      </c>
      <c r="B155" s="2" t="s">
        <v>362</v>
      </c>
      <c r="C155" s="3">
        <v>42503</v>
      </c>
      <c r="D155" s="3"/>
      <c r="E155" s="1" t="s">
        <v>157</v>
      </c>
    </row>
    <row r="156" spans="1:5" ht="139.19999999999999" x14ac:dyDescent="0.4">
      <c r="A156" t="s">
        <v>361</v>
      </c>
      <c r="B156" s="2" t="s">
        <v>362</v>
      </c>
      <c r="C156" s="3">
        <v>43892</v>
      </c>
      <c r="D156" s="3"/>
      <c r="E156" s="1" t="s">
        <v>158</v>
      </c>
    </row>
    <row r="157" spans="1:5" ht="52.2" x14ac:dyDescent="0.4">
      <c r="A157" t="s">
        <v>361</v>
      </c>
      <c r="B157" s="2" t="s">
        <v>362</v>
      </c>
      <c r="C157" s="3">
        <v>44663</v>
      </c>
      <c r="D157" s="3"/>
      <c r="E157" s="1" t="s">
        <v>159</v>
      </c>
    </row>
    <row r="158" spans="1:5" ht="52.2" x14ac:dyDescent="0.4">
      <c r="A158" t="s">
        <v>361</v>
      </c>
      <c r="B158" s="2" t="s">
        <v>362</v>
      </c>
      <c r="C158" s="3">
        <v>45119</v>
      </c>
      <c r="D158" s="3"/>
      <c r="E158" s="1" t="s">
        <v>160</v>
      </c>
    </row>
    <row r="159" spans="1:5" ht="69.599999999999994" x14ac:dyDescent="0.4">
      <c r="A159" t="s">
        <v>363</v>
      </c>
      <c r="B159" s="2" t="s">
        <v>364</v>
      </c>
      <c r="C159" s="3">
        <v>42503</v>
      </c>
      <c r="D159" s="3"/>
      <c r="E159" s="1" t="s">
        <v>161</v>
      </c>
    </row>
    <row r="160" spans="1:5" ht="52.2" x14ac:dyDescent="0.4">
      <c r="A160" t="s">
        <v>365</v>
      </c>
      <c r="B160" s="2" t="s">
        <v>366</v>
      </c>
      <c r="C160" s="3">
        <v>43182</v>
      </c>
      <c r="D160" s="3"/>
      <c r="E160" s="1" t="s">
        <v>162</v>
      </c>
    </row>
    <row r="161" spans="1:5" ht="87" x14ac:dyDescent="0.4">
      <c r="A161" t="s">
        <v>367</v>
      </c>
      <c r="B161" s="2" t="s">
        <v>368</v>
      </c>
      <c r="C161" s="3">
        <v>43552</v>
      </c>
      <c r="D161" s="3"/>
      <c r="E161" s="1" t="s">
        <v>163</v>
      </c>
    </row>
    <row r="162" spans="1:5" ht="226.2" x14ac:dyDescent="0.4">
      <c r="A162" t="s">
        <v>369</v>
      </c>
      <c r="B162" s="2" t="s">
        <v>370</v>
      </c>
      <c r="C162" s="3">
        <v>43892</v>
      </c>
      <c r="D162" s="3"/>
      <c r="E162" s="1" t="s">
        <v>164</v>
      </c>
    </row>
    <row r="163" spans="1:5" x14ac:dyDescent="0.4">
      <c r="A163" t="s">
        <v>371</v>
      </c>
      <c r="B163" s="2" t="s">
        <v>372</v>
      </c>
      <c r="C163" s="3">
        <v>43559</v>
      </c>
      <c r="D163" s="3"/>
      <c r="E163" s="1" t="s">
        <v>165</v>
      </c>
    </row>
    <row r="164" spans="1:5" ht="104.4" x14ac:dyDescent="0.4">
      <c r="A164" t="s">
        <v>373</v>
      </c>
      <c r="B164" s="2">
        <v>14.11</v>
      </c>
      <c r="C164" s="3">
        <v>44747</v>
      </c>
      <c r="D164" s="3"/>
      <c r="E164" s="1" t="s">
        <v>166</v>
      </c>
    </row>
    <row r="165" spans="1:5" ht="139.19999999999999" x14ac:dyDescent="0.4">
      <c r="A165" t="s">
        <v>167</v>
      </c>
      <c r="B165" s="2">
        <v>15.1</v>
      </c>
      <c r="C165" s="3">
        <v>45560</v>
      </c>
      <c r="D165" s="3"/>
      <c r="E165" s="1" t="s">
        <v>168</v>
      </c>
    </row>
    <row r="166" spans="1:5" ht="121.8" x14ac:dyDescent="0.4">
      <c r="A166" t="s">
        <v>374</v>
      </c>
      <c r="B166" s="2" t="s">
        <v>375</v>
      </c>
      <c r="C166" s="3">
        <v>44747</v>
      </c>
      <c r="D166" s="3"/>
      <c r="E166" s="1" t="s">
        <v>169</v>
      </c>
    </row>
    <row r="167" spans="1:5" ht="139.19999999999999" x14ac:dyDescent="0.4">
      <c r="A167" t="s">
        <v>376</v>
      </c>
      <c r="B167" s="2" t="s">
        <v>377</v>
      </c>
      <c r="C167" s="3">
        <v>44855</v>
      </c>
      <c r="D167" s="3"/>
      <c r="E167" s="1" t="s">
        <v>170</v>
      </c>
    </row>
    <row r="168" spans="1:5" ht="34.799999999999997" x14ac:dyDescent="0.4">
      <c r="A168" t="s">
        <v>378</v>
      </c>
      <c r="B168" s="2" t="s">
        <v>379</v>
      </c>
      <c r="C168" s="3">
        <v>42763</v>
      </c>
      <c r="D168" s="3"/>
      <c r="E168" s="1" t="s">
        <v>171</v>
      </c>
    </row>
    <row r="169" spans="1:5" ht="104.4" x14ac:dyDescent="0.4">
      <c r="A169" t="s">
        <v>380</v>
      </c>
      <c r="B169" s="2" t="s">
        <v>381</v>
      </c>
      <c r="C169" s="3">
        <v>42763</v>
      </c>
      <c r="D169" s="3"/>
      <c r="E169" s="1" t="s">
        <v>172</v>
      </c>
    </row>
    <row r="170" spans="1:5" ht="174" x14ac:dyDescent="0.4">
      <c r="A170" t="s">
        <v>382</v>
      </c>
      <c r="B170" s="2" t="s">
        <v>383</v>
      </c>
      <c r="C170" s="3">
        <v>44197</v>
      </c>
      <c r="D170" s="3"/>
      <c r="E170" s="1" t="s">
        <v>173</v>
      </c>
    </row>
    <row r="171" spans="1:5" ht="156.6" x14ac:dyDescent="0.4">
      <c r="A171" t="s">
        <v>384</v>
      </c>
      <c r="B171" s="2" t="s">
        <v>385</v>
      </c>
      <c r="C171" s="3">
        <v>43892</v>
      </c>
      <c r="D171" s="3"/>
      <c r="E171" s="1" t="s">
        <v>174</v>
      </c>
    </row>
    <row r="172" spans="1:5" ht="400.2" x14ac:dyDescent="0.4">
      <c r="A172" t="s">
        <v>384</v>
      </c>
      <c r="B172" s="2" t="s">
        <v>385</v>
      </c>
      <c r="C172" s="3">
        <v>45474</v>
      </c>
      <c r="D172" s="3"/>
      <c r="E172" s="1" t="s">
        <v>175</v>
      </c>
    </row>
    <row r="173" spans="1:5" ht="156.6" x14ac:dyDescent="0.4">
      <c r="A173" t="s">
        <v>386</v>
      </c>
      <c r="B173" s="2" t="s">
        <v>387</v>
      </c>
      <c r="C173" s="3">
        <v>42763</v>
      </c>
      <c r="D173" s="3"/>
      <c r="E173" s="1" t="s">
        <v>176</v>
      </c>
    </row>
    <row r="174" spans="1:5" ht="121.8" x14ac:dyDescent="0.4">
      <c r="A174" t="s">
        <v>386</v>
      </c>
      <c r="B174" s="2" t="s">
        <v>387</v>
      </c>
      <c r="C174" s="3">
        <v>44663</v>
      </c>
      <c r="D174" s="3"/>
      <c r="E174" s="1" t="s">
        <v>177</v>
      </c>
    </row>
    <row r="175" spans="1:5" ht="87" x14ac:dyDescent="0.4">
      <c r="A175" t="s">
        <v>388</v>
      </c>
      <c r="B175" s="2">
        <v>16.2</v>
      </c>
      <c r="C175" s="3">
        <v>45224</v>
      </c>
      <c r="D175" s="3"/>
      <c r="E175" s="1" t="s">
        <v>178</v>
      </c>
    </row>
    <row r="176" spans="1:5" ht="69.599999999999994" x14ac:dyDescent="0.4">
      <c r="A176" t="s">
        <v>388</v>
      </c>
      <c r="B176" s="2">
        <v>16.2</v>
      </c>
      <c r="C176" s="3">
        <v>42503</v>
      </c>
      <c r="D176" s="3"/>
      <c r="E176" s="1" t="s">
        <v>179</v>
      </c>
    </row>
    <row r="177" spans="1:5" ht="69.599999999999994" x14ac:dyDescent="0.4">
      <c r="A177" t="s">
        <v>388</v>
      </c>
      <c r="B177" s="2">
        <v>16.2</v>
      </c>
      <c r="C177" s="3">
        <v>43182</v>
      </c>
      <c r="D177" s="3"/>
      <c r="E177" s="1" t="s">
        <v>180</v>
      </c>
    </row>
    <row r="178" spans="1:5" ht="156.6" x14ac:dyDescent="0.4">
      <c r="A178" t="s">
        <v>389</v>
      </c>
      <c r="B178" s="2">
        <v>16.3</v>
      </c>
      <c r="C178" s="3">
        <v>45033</v>
      </c>
      <c r="D178" s="3"/>
      <c r="E178" s="1" t="s">
        <v>181</v>
      </c>
    </row>
    <row r="179" spans="1:5" ht="69.599999999999994" x14ac:dyDescent="0.4">
      <c r="A179" t="s">
        <v>389</v>
      </c>
      <c r="B179" s="2">
        <v>16.3</v>
      </c>
      <c r="C179" s="3">
        <v>42826</v>
      </c>
      <c r="D179" s="3"/>
      <c r="E179" s="1" t="s">
        <v>182</v>
      </c>
    </row>
    <row r="180" spans="1:5" ht="69.599999999999994" x14ac:dyDescent="0.4">
      <c r="A180" t="s">
        <v>389</v>
      </c>
      <c r="B180" s="2">
        <v>16.3</v>
      </c>
      <c r="C180" s="3">
        <v>42763</v>
      </c>
      <c r="D180" s="3"/>
      <c r="E180" s="1" t="s">
        <v>183</v>
      </c>
    </row>
    <row r="181" spans="1:5" ht="69.599999999999994" x14ac:dyDescent="0.4">
      <c r="A181" t="s">
        <v>389</v>
      </c>
      <c r="B181" s="2">
        <v>16.3</v>
      </c>
      <c r="C181" s="3">
        <v>43559</v>
      </c>
      <c r="D181" s="3"/>
      <c r="E181" s="1" t="s">
        <v>184</v>
      </c>
    </row>
    <row r="182" spans="1:5" ht="34.799999999999997" x14ac:dyDescent="0.4">
      <c r="A182" t="s">
        <v>389</v>
      </c>
      <c r="B182" s="2">
        <v>16.3</v>
      </c>
      <c r="C182" s="3">
        <v>43892</v>
      </c>
      <c r="D182" s="3"/>
      <c r="E182" s="1" t="s">
        <v>185</v>
      </c>
    </row>
    <row r="183" spans="1:5" ht="87" x14ac:dyDescent="0.4">
      <c r="A183" t="s">
        <v>389</v>
      </c>
      <c r="B183" s="2">
        <v>16.3</v>
      </c>
      <c r="C183" s="3">
        <v>43892</v>
      </c>
      <c r="D183" s="3"/>
      <c r="E183" s="1" t="s">
        <v>186</v>
      </c>
    </row>
    <row r="184" spans="1:5" ht="104.4" x14ac:dyDescent="0.4">
      <c r="A184" t="s">
        <v>389</v>
      </c>
      <c r="B184" s="2">
        <v>16.3</v>
      </c>
      <c r="C184" s="3">
        <v>43892</v>
      </c>
      <c r="D184" s="3"/>
      <c r="E184" s="1" t="s">
        <v>187</v>
      </c>
    </row>
    <row r="185" spans="1:5" ht="87" x14ac:dyDescent="0.4">
      <c r="A185" t="s">
        <v>389</v>
      </c>
      <c r="B185" s="2">
        <v>16.3</v>
      </c>
      <c r="C185" s="3">
        <v>44927</v>
      </c>
      <c r="D185" s="3"/>
      <c r="E185" s="1" t="s">
        <v>188</v>
      </c>
    </row>
    <row r="186" spans="1:5" ht="156.6" x14ac:dyDescent="0.4">
      <c r="A186" t="s">
        <v>390</v>
      </c>
      <c r="B186" s="2" t="s">
        <v>391</v>
      </c>
      <c r="C186" s="3">
        <v>45033</v>
      </c>
      <c r="D186" s="3"/>
      <c r="E186" s="1" t="s">
        <v>189</v>
      </c>
    </row>
    <row r="187" spans="1:5" ht="52.2" x14ac:dyDescent="0.4">
      <c r="A187" t="s">
        <v>392</v>
      </c>
      <c r="B187" s="2" t="s">
        <v>393</v>
      </c>
      <c r="C187" s="3">
        <v>42763</v>
      </c>
      <c r="D187" s="3"/>
      <c r="E187" s="1" t="s">
        <v>190</v>
      </c>
    </row>
    <row r="188" spans="1:5" ht="156.6" x14ac:dyDescent="0.4">
      <c r="A188" t="s">
        <v>392</v>
      </c>
      <c r="B188" s="2" t="s">
        <v>393</v>
      </c>
      <c r="C188" s="3">
        <v>43559</v>
      </c>
      <c r="D188" s="3"/>
      <c r="E188" s="1" t="s">
        <v>191</v>
      </c>
    </row>
    <row r="189" spans="1:5" ht="87" x14ac:dyDescent="0.4">
      <c r="A189" t="s">
        <v>394</v>
      </c>
      <c r="B189" s="2" t="s">
        <v>395</v>
      </c>
      <c r="C189" s="3">
        <v>43559</v>
      </c>
      <c r="D189" s="3"/>
      <c r="E189" s="1" t="s">
        <v>192</v>
      </c>
    </row>
    <row r="190" spans="1:5" ht="52.2" x14ac:dyDescent="0.4">
      <c r="A190" t="s">
        <v>394</v>
      </c>
      <c r="B190" s="2" t="s">
        <v>395</v>
      </c>
      <c r="C190" s="3">
        <v>42763</v>
      </c>
      <c r="D190" s="3"/>
      <c r="E190" s="1" t="s">
        <v>193</v>
      </c>
    </row>
    <row r="191" spans="1:5" ht="69.599999999999994" x14ac:dyDescent="0.4">
      <c r="A191" t="s">
        <v>396</v>
      </c>
      <c r="B191" s="2" t="s">
        <v>397</v>
      </c>
      <c r="C191" s="3">
        <v>43182</v>
      </c>
      <c r="D191" s="3"/>
      <c r="E191" s="1" t="s">
        <v>194</v>
      </c>
    </row>
    <row r="192" spans="1:5" ht="69.599999999999994" x14ac:dyDescent="0.4">
      <c r="A192" t="s">
        <v>398</v>
      </c>
      <c r="B192" s="2" t="s">
        <v>399</v>
      </c>
      <c r="C192" s="3">
        <v>42763</v>
      </c>
      <c r="D192" s="3"/>
      <c r="E192" s="1" t="s">
        <v>195</v>
      </c>
    </row>
    <row r="193" spans="1:5" ht="52.2" x14ac:dyDescent="0.4">
      <c r="A193" t="s">
        <v>400</v>
      </c>
      <c r="B193" s="2" t="s">
        <v>401</v>
      </c>
      <c r="C193" s="3">
        <v>43559</v>
      </c>
      <c r="D193" s="3"/>
      <c r="E193" s="1" t="s">
        <v>196</v>
      </c>
    </row>
    <row r="194" spans="1:5" ht="104.4" x14ac:dyDescent="0.4">
      <c r="A194" t="s">
        <v>400</v>
      </c>
      <c r="B194" s="2" t="s">
        <v>401</v>
      </c>
      <c r="C194" s="3">
        <v>43559</v>
      </c>
      <c r="D194" s="3"/>
      <c r="E194" s="1" t="s">
        <v>197</v>
      </c>
    </row>
    <row r="195" spans="1:5" ht="69.599999999999994" x14ac:dyDescent="0.4">
      <c r="A195" t="s">
        <v>400</v>
      </c>
      <c r="B195" s="2" t="s">
        <v>401</v>
      </c>
      <c r="C195" s="3">
        <v>44622</v>
      </c>
      <c r="D195" s="3"/>
      <c r="E195" s="1" t="s">
        <v>198</v>
      </c>
    </row>
    <row r="196" spans="1:5" ht="69.599999999999994" x14ac:dyDescent="0.4">
      <c r="A196" t="s">
        <v>402</v>
      </c>
      <c r="B196" s="2" t="s">
        <v>403</v>
      </c>
      <c r="C196" s="3">
        <v>42763</v>
      </c>
      <c r="D196" s="3"/>
      <c r="E196" s="1" t="s">
        <v>199</v>
      </c>
    </row>
    <row r="197" spans="1:5" ht="87" x14ac:dyDescent="0.4">
      <c r="A197" t="s">
        <v>404</v>
      </c>
      <c r="B197" s="2" t="s">
        <v>405</v>
      </c>
      <c r="C197" s="3">
        <v>42763</v>
      </c>
      <c r="D197" s="3"/>
      <c r="E197" s="1" t="s">
        <v>200</v>
      </c>
    </row>
    <row r="198" spans="1:5" ht="156.6" x14ac:dyDescent="0.4">
      <c r="A198" t="s">
        <v>406</v>
      </c>
      <c r="B198" s="2" t="s">
        <v>407</v>
      </c>
      <c r="C198" s="3">
        <v>42763</v>
      </c>
      <c r="D198" s="3"/>
      <c r="E198" s="1" t="s">
        <v>201</v>
      </c>
    </row>
    <row r="199" spans="1:5" ht="174" x14ac:dyDescent="0.4">
      <c r="A199" t="s">
        <v>408</v>
      </c>
      <c r="B199" s="2" t="s">
        <v>409</v>
      </c>
      <c r="C199" s="3">
        <v>45033</v>
      </c>
      <c r="D199" s="3"/>
      <c r="E199" s="1" t="s">
        <v>202</v>
      </c>
    </row>
    <row r="200" spans="1:5" ht="261" x14ac:dyDescent="0.4">
      <c r="A200" t="s">
        <v>410</v>
      </c>
      <c r="B200" s="2" t="s">
        <v>411</v>
      </c>
      <c r="C200" s="3">
        <v>45658</v>
      </c>
      <c r="D200" s="3"/>
      <c r="E200" s="1" t="s">
        <v>203</v>
      </c>
    </row>
    <row r="201" spans="1:5" ht="34.799999999999997" x14ac:dyDescent="0.4">
      <c r="A201" t="s">
        <v>412</v>
      </c>
      <c r="B201" s="2" t="s">
        <v>413</v>
      </c>
      <c r="C201" s="3">
        <v>45560</v>
      </c>
      <c r="D201" s="3"/>
      <c r="E201" s="1" t="s">
        <v>414</v>
      </c>
    </row>
    <row r="202" spans="1:5" ht="52.2" x14ac:dyDescent="0.4">
      <c r="A202" t="s">
        <v>415</v>
      </c>
      <c r="B202" s="2" t="s">
        <v>416</v>
      </c>
      <c r="C202" s="3">
        <v>42763</v>
      </c>
      <c r="D202" s="3"/>
      <c r="E202" s="1" t="s">
        <v>417</v>
      </c>
    </row>
    <row r="203" spans="1:5" ht="139.19999999999999" x14ac:dyDescent="0.4">
      <c r="A203" t="s">
        <v>419</v>
      </c>
      <c r="B203" s="2" t="s">
        <v>420</v>
      </c>
      <c r="C203" s="3">
        <v>43892</v>
      </c>
      <c r="D203" s="3"/>
      <c r="E203" s="1" t="s">
        <v>418</v>
      </c>
    </row>
    <row r="204" spans="1:5" ht="243.6" x14ac:dyDescent="0.4">
      <c r="A204" t="s">
        <v>423</v>
      </c>
      <c r="B204" s="2" t="s">
        <v>422</v>
      </c>
      <c r="C204" s="3">
        <v>45033</v>
      </c>
      <c r="D204" s="3"/>
      <c r="E204" s="1" t="s">
        <v>421</v>
      </c>
    </row>
    <row r="205" spans="1:5" ht="400.2" x14ac:dyDescent="0.4">
      <c r="A205" t="s">
        <v>424</v>
      </c>
      <c r="C205" s="3">
        <v>44378</v>
      </c>
      <c r="D205" s="3"/>
      <c r="E205" s="1" t="s">
        <v>425</v>
      </c>
    </row>
    <row r="206" spans="1:5" ht="52.2" x14ac:dyDescent="0.4">
      <c r="A206" t="s">
        <v>424</v>
      </c>
      <c r="C206" s="3">
        <v>45033</v>
      </c>
      <c r="D206" s="3"/>
      <c r="E206" s="1" t="s">
        <v>426</v>
      </c>
    </row>
    <row r="207" spans="1:5" ht="69.599999999999994" x14ac:dyDescent="0.4">
      <c r="A207" t="s">
        <v>427</v>
      </c>
      <c r="C207" s="3">
        <v>45589</v>
      </c>
      <c r="D207" s="3"/>
      <c r="E207" s="1" t="s">
        <v>428</v>
      </c>
    </row>
    <row r="208" spans="1:5" ht="139.19999999999999" x14ac:dyDescent="0.4">
      <c r="A208" t="s">
        <v>728</v>
      </c>
      <c r="C208" s="3">
        <v>40345</v>
      </c>
      <c r="D208" s="3"/>
      <c r="E208" s="1" t="s">
        <v>729</v>
      </c>
    </row>
    <row r="209" spans="1:5" ht="156.6" x14ac:dyDescent="0.4">
      <c r="A209" t="s">
        <v>731</v>
      </c>
      <c r="B209" s="2" t="s">
        <v>733</v>
      </c>
      <c r="C209" s="3">
        <v>35660</v>
      </c>
      <c r="D209" s="3">
        <v>41532</v>
      </c>
      <c r="E209" s="1" t="s">
        <v>732</v>
      </c>
    </row>
    <row r="210" spans="1:5" ht="295.8" x14ac:dyDescent="0.4">
      <c r="A210" t="s">
        <v>731</v>
      </c>
      <c r="B210" s="2" t="s">
        <v>733</v>
      </c>
      <c r="C210" s="3">
        <v>41532</v>
      </c>
      <c r="D210" s="3">
        <v>43552</v>
      </c>
      <c r="E210" s="1" t="s">
        <v>734</v>
      </c>
    </row>
    <row r="211" spans="1:5" ht="139.19999999999999" x14ac:dyDescent="0.4">
      <c r="A211" t="s">
        <v>210</v>
      </c>
      <c r="B211" s="2" t="s">
        <v>735</v>
      </c>
      <c r="C211" s="3">
        <v>41532</v>
      </c>
      <c r="D211" s="3">
        <v>43552</v>
      </c>
      <c r="E211" s="1" t="s">
        <v>736</v>
      </c>
    </row>
    <row r="212" spans="1:5" ht="243.6" x14ac:dyDescent="0.4">
      <c r="A212" t="s">
        <v>227</v>
      </c>
      <c r="B212" s="2" t="s">
        <v>228</v>
      </c>
      <c r="C212" s="3">
        <v>35660</v>
      </c>
      <c r="D212" s="3">
        <v>36174</v>
      </c>
      <c r="E212" s="1" t="s">
        <v>737</v>
      </c>
    </row>
    <row r="213" spans="1:5" ht="278.39999999999998" x14ac:dyDescent="0.4">
      <c r="A213" t="s">
        <v>227</v>
      </c>
      <c r="B213" s="2" t="s">
        <v>228</v>
      </c>
      <c r="C213" s="3">
        <v>36174</v>
      </c>
      <c r="D213" s="3">
        <v>41532</v>
      </c>
      <c r="E213" s="1" t="s">
        <v>738</v>
      </c>
    </row>
    <row r="214" spans="1:5" ht="121.8" x14ac:dyDescent="0.4">
      <c r="A214" t="s">
        <v>227</v>
      </c>
      <c r="B214" s="2" t="s">
        <v>228</v>
      </c>
      <c r="C214" s="3">
        <v>41532</v>
      </c>
      <c r="D214" s="3">
        <v>42137</v>
      </c>
      <c r="E214" s="1" t="s">
        <v>739</v>
      </c>
    </row>
    <row r="215" spans="1:5" ht="174" x14ac:dyDescent="0.4">
      <c r="A215" t="s">
        <v>227</v>
      </c>
      <c r="B215" s="2" t="s">
        <v>228</v>
      </c>
      <c r="C215" s="3">
        <v>42137</v>
      </c>
      <c r="D215" s="3">
        <v>43552</v>
      </c>
      <c r="E215" s="1" t="s">
        <v>740</v>
      </c>
    </row>
    <row r="216" spans="1:5" ht="191.4" x14ac:dyDescent="0.4">
      <c r="A216" t="s">
        <v>741</v>
      </c>
      <c r="B216" s="2" t="s">
        <v>230</v>
      </c>
      <c r="C216" s="3">
        <v>35660</v>
      </c>
      <c r="D216" s="3">
        <v>37790</v>
      </c>
      <c r="E216" s="1" t="s">
        <v>742</v>
      </c>
    </row>
    <row r="217" spans="1:5" ht="191.4" x14ac:dyDescent="0.4">
      <c r="A217" t="s">
        <v>741</v>
      </c>
      <c r="B217" s="2" t="s">
        <v>230</v>
      </c>
      <c r="C217" s="3">
        <v>37790</v>
      </c>
      <c r="D217" s="3">
        <v>41532</v>
      </c>
      <c r="E217" s="1" t="s">
        <v>743</v>
      </c>
    </row>
    <row r="218" spans="1:5" ht="278.39999999999998" x14ac:dyDescent="0.4">
      <c r="A218" t="s">
        <v>741</v>
      </c>
      <c r="B218" s="2" t="s">
        <v>230</v>
      </c>
      <c r="C218" s="3">
        <v>41532</v>
      </c>
      <c r="D218" s="3">
        <v>42137</v>
      </c>
      <c r="E218" s="1" t="s">
        <v>744</v>
      </c>
    </row>
    <row r="219" spans="1:5" ht="295.8" x14ac:dyDescent="0.4">
      <c r="A219" t="s">
        <v>741</v>
      </c>
      <c r="B219" s="2" t="s">
        <v>230</v>
      </c>
      <c r="C219" s="3">
        <v>42137</v>
      </c>
      <c r="D219" s="3">
        <v>43552</v>
      </c>
      <c r="E219" s="1" t="s">
        <v>745</v>
      </c>
    </row>
    <row r="220" spans="1:5" ht="87" x14ac:dyDescent="0.4">
      <c r="A220" t="s">
        <v>236</v>
      </c>
      <c r="B220" s="2" t="s">
        <v>237</v>
      </c>
      <c r="C220" s="3">
        <v>35660</v>
      </c>
      <c r="D220" s="3">
        <v>37790</v>
      </c>
      <c r="E220" s="1" t="s">
        <v>746</v>
      </c>
    </row>
    <row r="221" spans="1:5" ht="104.4" x14ac:dyDescent="0.4">
      <c r="A221" t="s">
        <v>236</v>
      </c>
      <c r="B221" s="2" t="s">
        <v>237</v>
      </c>
      <c r="C221" s="3">
        <v>37790</v>
      </c>
      <c r="D221" s="3">
        <v>41532</v>
      </c>
      <c r="E221" s="1" t="s">
        <v>747</v>
      </c>
    </row>
    <row r="222" spans="1:5" ht="278.39999999999998" x14ac:dyDescent="0.4">
      <c r="A222" t="s">
        <v>236</v>
      </c>
      <c r="B222" s="2" t="s">
        <v>237</v>
      </c>
      <c r="C222" s="3">
        <v>41532</v>
      </c>
      <c r="D222" s="3">
        <v>43552</v>
      </c>
      <c r="E222" s="1" t="s">
        <v>748</v>
      </c>
    </row>
    <row r="223" spans="1:5" ht="174" x14ac:dyDescent="0.4">
      <c r="A223" t="s">
        <v>251</v>
      </c>
      <c r="B223" s="2" t="s">
        <v>252</v>
      </c>
      <c r="C223" s="3">
        <v>35660</v>
      </c>
      <c r="D223" s="3">
        <v>41532</v>
      </c>
      <c r="E223" s="1" t="s">
        <v>749</v>
      </c>
    </row>
    <row r="224" spans="1:5" ht="139.19999999999999" x14ac:dyDescent="0.4">
      <c r="A224" t="s">
        <v>251</v>
      </c>
      <c r="B224" s="2" t="s">
        <v>252</v>
      </c>
      <c r="C224" s="3">
        <v>41532</v>
      </c>
      <c r="D224" s="3">
        <v>42137</v>
      </c>
      <c r="E224" s="1" t="s">
        <v>750</v>
      </c>
    </row>
    <row r="225" spans="1:5" ht="139.19999999999999" x14ac:dyDescent="0.4">
      <c r="A225" t="s">
        <v>251</v>
      </c>
      <c r="B225" s="2" t="s">
        <v>252</v>
      </c>
      <c r="C225" s="3">
        <v>42137</v>
      </c>
      <c r="D225" s="3">
        <v>43552</v>
      </c>
      <c r="E225" s="1" t="s">
        <v>751</v>
      </c>
    </row>
    <row r="226" spans="1:5" ht="52.2" x14ac:dyDescent="0.4">
      <c r="A226" t="s">
        <v>752</v>
      </c>
      <c r="B226" s="2" t="s">
        <v>279</v>
      </c>
      <c r="C226" s="3">
        <v>41532</v>
      </c>
      <c r="D226" s="3">
        <v>43552</v>
      </c>
      <c r="E226" s="1" t="s">
        <v>753</v>
      </c>
    </row>
    <row r="227" spans="1:5" ht="174" x14ac:dyDescent="0.4">
      <c r="A227" t="s">
        <v>756</v>
      </c>
      <c r="B227" s="2" t="s">
        <v>755</v>
      </c>
      <c r="C227" s="3">
        <v>39701</v>
      </c>
      <c r="E227" s="1" t="s">
        <v>754</v>
      </c>
    </row>
    <row r="228" spans="1:5" ht="52.2" x14ac:dyDescent="0.4">
      <c r="A228" t="s">
        <v>758</v>
      </c>
      <c r="B228" s="2" t="s">
        <v>757</v>
      </c>
      <c r="C228" s="3">
        <v>43552</v>
      </c>
      <c r="E228" s="1" t="s">
        <v>759</v>
      </c>
    </row>
    <row r="229" spans="1:5" ht="191.4" x14ac:dyDescent="0.4">
      <c r="A229" t="s">
        <v>761</v>
      </c>
      <c r="B229" s="2">
        <v>7.16</v>
      </c>
      <c r="C229" s="3">
        <v>45718</v>
      </c>
      <c r="E229" s="1" t="s">
        <v>760</v>
      </c>
    </row>
    <row r="230" spans="1:5" ht="69.599999999999994" x14ac:dyDescent="0.4">
      <c r="A230" t="s">
        <v>762</v>
      </c>
      <c r="B230" s="2" t="s">
        <v>764</v>
      </c>
      <c r="C230" s="3">
        <v>34486</v>
      </c>
      <c r="D230" s="3">
        <v>41532</v>
      </c>
      <c r="E230" s="1" t="s">
        <v>763</v>
      </c>
    </row>
    <row r="231" spans="1:5" ht="69.599999999999994" x14ac:dyDescent="0.4">
      <c r="A231" t="s">
        <v>762</v>
      </c>
      <c r="B231" s="2" t="s">
        <v>764</v>
      </c>
      <c r="C231" s="3">
        <v>41532</v>
      </c>
      <c r="D231" s="3">
        <v>43552</v>
      </c>
      <c r="E231" s="1" t="s">
        <v>765</v>
      </c>
    </row>
    <row r="232" spans="1:5" ht="139.19999999999999" x14ac:dyDescent="0.4">
      <c r="A232" t="s">
        <v>766</v>
      </c>
      <c r="B232" s="2" t="s">
        <v>767</v>
      </c>
      <c r="C232" s="3">
        <v>35660</v>
      </c>
      <c r="D232" s="3">
        <v>41532</v>
      </c>
      <c r="E232" s="1" t="s">
        <v>768</v>
      </c>
    </row>
    <row r="233" spans="1:5" ht="104.4" x14ac:dyDescent="0.4">
      <c r="A233" t="s">
        <v>766</v>
      </c>
      <c r="B233" s="2" t="s">
        <v>767</v>
      </c>
      <c r="C233" s="3">
        <v>41532</v>
      </c>
      <c r="D233" s="3">
        <v>43552</v>
      </c>
      <c r="E233" s="1" t="s">
        <v>769</v>
      </c>
    </row>
    <row r="234" spans="1:5" ht="104.4" x14ac:dyDescent="0.4">
      <c r="A234" t="s">
        <v>773</v>
      </c>
      <c r="B234" s="2" t="s">
        <v>771</v>
      </c>
      <c r="C234" s="3">
        <v>41532</v>
      </c>
      <c r="D234" s="3">
        <v>43552</v>
      </c>
      <c r="E234" s="1" t="s">
        <v>770</v>
      </c>
    </row>
    <row r="235" spans="1:5" ht="34.799999999999997" x14ac:dyDescent="0.4">
      <c r="A235" t="s">
        <v>772</v>
      </c>
      <c r="B235" s="2" t="s">
        <v>775</v>
      </c>
      <c r="C235" s="3">
        <v>34857</v>
      </c>
      <c r="D235" s="3">
        <v>41532</v>
      </c>
      <c r="E235" s="1" t="s">
        <v>774</v>
      </c>
    </row>
    <row r="236" spans="1:5" ht="226.2" x14ac:dyDescent="0.4">
      <c r="A236" t="s">
        <v>772</v>
      </c>
      <c r="B236" s="2" t="s">
        <v>775</v>
      </c>
      <c r="C236" s="3">
        <v>41532</v>
      </c>
      <c r="D236" s="3">
        <v>42137</v>
      </c>
      <c r="E236" s="1" t="s">
        <v>776</v>
      </c>
    </row>
    <row r="237" spans="1:5" ht="243.6" x14ac:dyDescent="0.4">
      <c r="A237" t="s">
        <v>772</v>
      </c>
      <c r="B237" s="2" t="s">
        <v>775</v>
      </c>
      <c r="C237" s="3">
        <v>42137</v>
      </c>
      <c r="D237" s="3">
        <v>43552</v>
      </c>
      <c r="E237" s="1" t="s">
        <v>777</v>
      </c>
    </row>
    <row r="238" spans="1:5" ht="34.799999999999997" x14ac:dyDescent="0.4">
      <c r="A238" t="s">
        <v>778</v>
      </c>
      <c r="B238" s="2" t="s">
        <v>779</v>
      </c>
      <c r="C238" s="3">
        <v>41532</v>
      </c>
      <c r="D238" s="3">
        <v>43552</v>
      </c>
      <c r="E238" s="1" t="s">
        <v>780</v>
      </c>
    </row>
    <row r="239" spans="1:5" ht="52.2" x14ac:dyDescent="0.4">
      <c r="A239" t="s">
        <v>782</v>
      </c>
      <c r="B239" s="2" t="s">
        <v>781</v>
      </c>
      <c r="C239" s="3">
        <v>34857</v>
      </c>
      <c r="D239" s="3">
        <v>41532</v>
      </c>
      <c r="E239" s="1" t="s">
        <v>783</v>
      </c>
    </row>
    <row r="240" spans="1:5" ht="87" x14ac:dyDescent="0.4">
      <c r="A240" t="s">
        <v>782</v>
      </c>
      <c r="B240" s="2" t="s">
        <v>781</v>
      </c>
      <c r="C240" s="3">
        <v>41532</v>
      </c>
      <c r="D240" s="3">
        <v>43552</v>
      </c>
      <c r="E240" s="1" t="s">
        <v>784</v>
      </c>
    </row>
    <row r="241" spans="1:5" ht="208.8" x14ac:dyDescent="0.4">
      <c r="A241" t="s">
        <v>785</v>
      </c>
      <c r="B241" s="2" t="s">
        <v>786</v>
      </c>
      <c r="C241" s="3">
        <v>37790</v>
      </c>
      <c r="D241" s="3">
        <v>41532</v>
      </c>
      <c r="E241" s="1" t="s">
        <v>787</v>
      </c>
    </row>
    <row r="242" spans="1:5" ht="313.2" x14ac:dyDescent="0.4">
      <c r="A242" t="s">
        <v>789</v>
      </c>
      <c r="B242" s="2" t="s">
        <v>788</v>
      </c>
      <c r="C242" s="3">
        <v>44987</v>
      </c>
      <c r="E242" s="1" t="s">
        <v>822</v>
      </c>
    </row>
    <row r="243" spans="1:5" ht="34.799999999999997" x14ac:dyDescent="0.4">
      <c r="A243" t="s">
        <v>790</v>
      </c>
      <c r="B243" s="2" t="s">
        <v>791</v>
      </c>
      <c r="C243" s="3">
        <v>38504</v>
      </c>
      <c r="E243" s="1" t="s">
        <v>792</v>
      </c>
    </row>
    <row r="244" spans="1:5" ht="34.799999999999997" x14ac:dyDescent="0.4">
      <c r="A244" t="s">
        <v>821</v>
      </c>
      <c r="B244" s="2" t="s">
        <v>794</v>
      </c>
      <c r="C244" s="3">
        <v>35924</v>
      </c>
      <c r="D244" s="3">
        <v>40141</v>
      </c>
      <c r="E244" s="1" t="s">
        <v>793</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election activeCell="D2" sqref="D2"/>
    </sheetView>
  </sheetViews>
  <sheetFormatPr defaultRowHeight="17.399999999999999" x14ac:dyDescent="0.4"/>
  <sheetData>
    <row r="1" spans="1:5" x14ac:dyDescent="0.4">
      <c r="A1">
        <f>input!C3</f>
        <v>0</v>
      </c>
      <c r="D1">
        <f>input!C4</f>
        <v>0</v>
      </c>
    </row>
    <row r="2" spans="1:5" x14ac:dyDescent="0.4">
      <c r="A2" s="1">
        <v>100</v>
      </c>
      <c r="B2" s="1">
        <v>0.37</v>
      </c>
      <c r="D2" s="1">
        <v>1</v>
      </c>
      <c r="E2" s="1">
        <v>0.28000000000000003</v>
      </c>
    </row>
    <row r="3" spans="1:5" x14ac:dyDescent="0.4">
      <c r="A3" s="1">
        <v>180</v>
      </c>
      <c r="B3" s="1">
        <v>0.57999999999999996</v>
      </c>
      <c r="D3" s="1">
        <v>2</v>
      </c>
      <c r="E3" s="1">
        <v>0.49</v>
      </c>
    </row>
    <row r="4" spans="1:5" x14ac:dyDescent="0.4">
      <c r="A4" s="1">
        <v>225</v>
      </c>
      <c r="B4" s="1">
        <v>0.7</v>
      </c>
      <c r="D4" s="1">
        <v>3</v>
      </c>
      <c r="E4" s="1">
        <v>0.6</v>
      </c>
    </row>
    <row r="5" spans="1:5" x14ac:dyDescent="0.4">
      <c r="A5" s="1">
        <v>300</v>
      </c>
      <c r="B5" s="1">
        <v>0.9</v>
      </c>
      <c r="D5" s="1">
        <v>4</v>
      </c>
      <c r="E5" s="1">
        <v>0.79</v>
      </c>
    </row>
    <row r="6" spans="1:5" x14ac:dyDescent="0.4">
      <c r="A6" s="1">
        <v>375</v>
      </c>
      <c r="B6" s="1">
        <v>1.1000000000000001</v>
      </c>
      <c r="D6" s="1">
        <v>5</v>
      </c>
      <c r="E6" s="1">
        <v>0.98</v>
      </c>
    </row>
    <row r="7" spans="1:5" x14ac:dyDescent="0.4">
      <c r="A7" s="1">
        <v>400</v>
      </c>
      <c r="B7" s="1">
        <v>1.17</v>
      </c>
      <c r="D7" s="1">
        <v>6</v>
      </c>
      <c r="E7" s="1">
        <v>1.17</v>
      </c>
    </row>
    <row r="8" spans="1:5" x14ac:dyDescent="0.4">
      <c r="A8" s="1">
        <v>450</v>
      </c>
      <c r="B8" s="1">
        <v>1.3</v>
      </c>
      <c r="D8" s="1">
        <v>7</v>
      </c>
      <c r="E8" s="1">
        <v>1.31</v>
      </c>
    </row>
    <row r="9" spans="1:5" x14ac:dyDescent="0.4">
      <c r="A9" s="1">
        <v>525</v>
      </c>
      <c r="B9" s="1">
        <v>1.45</v>
      </c>
      <c r="D9" s="1">
        <v>8</v>
      </c>
      <c r="E9" s="1">
        <v>1.45</v>
      </c>
    </row>
    <row r="10" spans="1:5" x14ac:dyDescent="0.4">
      <c r="A10" s="1">
        <v>600</v>
      </c>
      <c r="B10" s="1">
        <v>1.6</v>
      </c>
      <c r="D10" s="1">
        <v>9</v>
      </c>
      <c r="E10" s="1">
        <v>1.59</v>
      </c>
    </row>
    <row r="11" spans="1:5" x14ac:dyDescent="0.4">
      <c r="A11" s="1">
        <v>630</v>
      </c>
      <c r="B11" s="1">
        <v>1.66</v>
      </c>
      <c r="D11" s="1">
        <v>10</v>
      </c>
      <c r="E11" s="1">
        <v>1.73</v>
      </c>
    </row>
    <row r="12" spans="1:5" x14ac:dyDescent="0.4">
      <c r="A12" s="1">
        <v>675</v>
      </c>
      <c r="B12" s="1">
        <v>1.75</v>
      </c>
      <c r="D12" s="1">
        <v>11</v>
      </c>
      <c r="E12" s="1">
        <v>1.87</v>
      </c>
    </row>
    <row r="13" spans="1:5" x14ac:dyDescent="0.4">
      <c r="A13" s="1">
        <v>750</v>
      </c>
      <c r="B13" s="1">
        <v>1.9</v>
      </c>
      <c r="D13" s="1">
        <v>12</v>
      </c>
      <c r="E13" s="1">
        <v>2.0099999999999998</v>
      </c>
    </row>
    <row r="14" spans="1:5" x14ac:dyDescent="0.4">
      <c r="A14" s="1">
        <v>800</v>
      </c>
      <c r="B14" s="1">
        <v>2</v>
      </c>
      <c r="D14" s="1">
        <v>13</v>
      </c>
      <c r="E14" s="1">
        <v>2.15</v>
      </c>
    </row>
    <row r="15" spans="1:5" x14ac:dyDescent="0.4">
      <c r="A15" s="1">
        <v>825</v>
      </c>
      <c r="B15" s="1">
        <v>2.0499999999999998</v>
      </c>
      <c r="D15" s="1">
        <v>14</v>
      </c>
      <c r="E15" s="1">
        <v>2.29</v>
      </c>
    </row>
    <row r="16" spans="1:5" x14ac:dyDescent="0.4">
      <c r="A16" s="1">
        <v>900</v>
      </c>
      <c r="B16" s="1">
        <v>2.2000000000000002</v>
      </c>
      <c r="D16" s="1">
        <v>15</v>
      </c>
      <c r="E16" s="1">
        <v>2.4300000000000002</v>
      </c>
    </row>
    <row r="17" spans="1:5" x14ac:dyDescent="0.4">
      <c r="A17" s="1">
        <v>975</v>
      </c>
      <c r="B17" s="1">
        <v>2.35</v>
      </c>
      <c r="D17" s="1">
        <v>16</v>
      </c>
      <c r="E17" s="1">
        <v>2.57</v>
      </c>
    </row>
    <row r="18" spans="1:5" x14ac:dyDescent="0.4">
      <c r="A18" s="1">
        <v>1000</v>
      </c>
      <c r="B18" s="1">
        <v>2.4</v>
      </c>
      <c r="D18" s="1">
        <v>17</v>
      </c>
      <c r="E18" s="1">
        <v>2.71</v>
      </c>
    </row>
    <row r="19" spans="1:5" x14ac:dyDescent="0.4">
      <c r="A19" s="1">
        <v>1050</v>
      </c>
      <c r="B19" s="1">
        <v>2.5</v>
      </c>
      <c r="D19" s="1">
        <v>18</v>
      </c>
      <c r="E19" s="1">
        <v>2.85</v>
      </c>
    </row>
    <row r="20" spans="1:5" x14ac:dyDescent="0.4">
      <c r="A20" s="1">
        <v>1125</v>
      </c>
      <c r="B20" s="1">
        <v>2.65</v>
      </c>
      <c r="D20" s="1">
        <v>19</v>
      </c>
      <c r="E20" s="1">
        <v>2.99</v>
      </c>
    </row>
    <row r="21" spans="1:5" x14ac:dyDescent="0.4">
      <c r="A21" s="1">
        <v>1250</v>
      </c>
      <c r="B21" s="1">
        <v>2.8</v>
      </c>
      <c r="D21" s="1">
        <v>20</v>
      </c>
      <c r="E21" s="1">
        <v>3.13</v>
      </c>
    </row>
    <row r="22" spans="1:5" x14ac:dyDescent="0.4">
      <c r="A22" s="1">
        <v>1275</v>
      </c>
      <c r="B22" s="1">
        <v>2.9</v>
      </c>
    </row>
    <row r="23" spans="1:5" x14ac:dyDescent="0.4">
      <c r="A23" s="1">
        <v>1350</v>
      </c>
      <c r="B23" s="1">
        <v>3.1</v>
      </c>
    </row>
    <row r="24" spans="1:5" x14ac:dyDescent="0.4">
      <c r="A24" s="1">
        <v>1425</v>
      </c>
      <c r="B24" s="1">
        <v>3.25</v>
      </c>
    </row>
    <row r="25" spans="1:5" x14ac:dyDescent="0.4">
      <c r="A25" s="1">
        <v>1500</v>
      </c>
      <c r="B25" s="1">
        <v>3.4</v>
      </c>
    </row>
    <row r="26" spans="1:5" x14ac:dyDescent="0.4">
      <c r="A26" s="1">
        <v>1600</v>
      </c>
      <c r="B26" s="1">
        <v>3.56</v>
      </c>
    </row>
    <row r="27" spans="1:5" x14ac:dyDescent="0.4">
      <c r="A27" s="1">
        <v>2000</v>
      </c>
      <c r="B27" s="1">
        <v>4.2</v>
      </c>
    </row>
    <row r="28" spans="1:5" x14ac:dyDescent="0.4">
      <c r="A28" s="1">
        <v>2500</v>
      </c>
      <c r="B28" s="1">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input</vt:lpstr>
      <vt:lpstr>rules</vt:lpstr>
      <vt:lpstr>rules_stand</vt:lpstr>
      <vt:lpstr>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2025-11-29T08:22:17Z</dcterms:created>
  <dcterms:modified xsi:type="dcterms:W3CDTF">2025-12-14T06:37:15Z</dcterms:modified>
</cp:coreProperties>
</file>